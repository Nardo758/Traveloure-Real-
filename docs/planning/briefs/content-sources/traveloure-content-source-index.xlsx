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gend" sheetId="1" state="visible" r:id="rId3"/>
    <sheet name="Needs" sheetId="2" state="visible" r:id="rId4"/>
    <sheet name="Sources" sheetId="3" state="visible" r:id="rId5"/>
    <sheet name="Coverage (Kyoto)" sheetId="4" state="visible" r:id="rId6"/>
    <sheet name="Providers (recruiting)" sheetId="5" state="visible" r:id="rId7"/>
  </sheets>
  <definedNames>
    <definedName function="false" hidden="true" localSheetId="4" name="_xlnm._FilterDatabase" vbProcedure="false">'Providers (recruiting)'!$A$1:$M$18</definedName>
    <definedName function="false" hidden="true" localSheetId="2" name="_xlnm._FilterDatabase" vbProcedure="false">Sources!$A$1:$Q$35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Stable key; becomes content_sources.id. Lowercase, underscores.</t>
        </r>
      </text>
    </comment>
    <comment ref="P1" authorId="0">
      <text>
        <r>
          <rPr>
            <sz val="10"/>
            <rFont val="Arial"/>
            <family val="2"/>
          </rPr>
          <t xml:space="preserve">Set 'yes' only after terms_checked_at is filled. The coverage sheet counts active rows only.</t>
        </r>
      </text>
    </comment>
  </commentList>
</comments>
</file>

<file path=xl/sharedStrings.xml><?xml version="1.0" encoding="utf-8"?>
<sst xmlns="http://schemas.openxmlformats.org/spreadsheetml/2006/main" count="771" uniqueCount="458">
  <si>
    <t xml:space="preserve">Traveloure content source index</t>
  </si>
  <si>
    <t xml:space="preserve">Seed for the content_sources registry (content-sourcing-brief §5). One row per source. The engine reads sources by NEED, not by site; a source declares what it covers AND what it does not.</t>
  </si>
  <si>
    <t xml:space="preserve">How to use this file</t>
  </si>
  <si>
    <t xml:space="preserve">1. Yellow cells are yours to fill: terms_url, terms_checked_at, terms_checked_by, active. A source is never set active until terms are checked and dated.</t>
  </si>
  <si>
    <t xml:space="preserve">2. covers / does_not_cover use the need keys from the Needs sheet, comma-separated. Sub-needs use dots (transport.intercity.rail).</t>
  </si>
  <si>
    <t xml:space="preserve">3. markets: comma-separated market slugs (kyoto, edinburgh, porto, bogota, cartagena, mumbai, goa, jaipur) or 'global'.</t>
  </si>
  <si>
    <t xml:space="preserve">4. adapter: api | affiliate_feed | tavily_extract | tavily_crawl | manual. This is how the fact reaches place_facts; the engine never sees the difference.</t>
  </si>
  <si>
    <t xml:space="preserve">5. license_class: official (public body / operator / venue) | editorial (publication) | partner (affiliate or API agreement) | restricted (usable inside plans only, never public).</t>
  </si>
  <si>
    <t xml:space="preserve">6. Coverage (Kyoto) recomputes from the Sources sheet: a need is a GAP when it is required for the slice and no ACTIVE source covers it for Kyoto or globally.</t>
  </si>
  <si>
    <t xml:space="preserve">7. Off the list by rule: OTAs and review sites (Booking display outside hotel_cache, Expedia, TripAdvisor), Google results at large, resale ticket hosts (R208), any site whose terms forbid automated access.</t>
  </si>
  <si>
    <t xml:space="preserve">Status vocabulary</t>
  </si>
  <si>
    <t xml:space="preserve">key_status: held (env var name) | pending (applied) | none | n/a</t>
  </si>
  <si>
    <t xml:space="preserve">active: yes | no  — default no</t>
  </si>
  <si>
    <t xml:space="preserve">Source: content-sourcing-brief.md (2026-09-29). Coverage claims for partner sites are from their public program pages as of 2026-09 and must be re-checked when terms are read; nothing here is verified against a contract.</t>
  </si>
  <si>
    <t xml:space="preserve">Providers (recruiting) sheet</t>
  </si>
  <si>
    <t xml:space="preserve">Providers are supply, not content. A plan never shows a provider from an outside directory; it shows provider_services rows after signup and approval. These rows say where to find people for each roles_needed role, per market, and which /earn door to send them to.</t>
  </si>
  <si>
    <t xml:space="preserve">Yellow cells (contacted_at, contacted_by, outcome) are the outreach log. Outcomes: replied | listed | declined | no reply.</t>
  </si>
  <si>
    <t xml:space="preserve">Discovery-only sources (partner listings, reservation platforms, vendor directories) are for finding who exists. Their terms forbid automated use and their text is never copied. Outreach is direct, one to one.</t>
  </si>
  <si>
    <t xml:space="preserve">Kyoto Trips slice needs, in order: 2 tour_guide with live listings, 1 private_transportation (charter), 3 activity_provider, 2 dining_venue with reservation policy, photography for the honeymoon/anniversary occasions. These are the rows that turn the census gate green together with the experts and hotels.</t>
  </si>
  <si>
    <t xml:space="preserve">content_url vs program_page</t>
  </si>
  <si>
    <t xml:space="preserve">program_page is where the relationship lives (partner portal, API docs, about page). content_url is the page or endpoint the adapter actually reads facts from. Register content_url, never the homepage. URLs marked 'verify' were written from memory and must be opened before a row goes active; ids in partner URLs (Viator d-ids, GetYourGuide l-ids, Klook city ids) change and must be confirmed.</t>
  </si>
  <si>
    <t xml:space="preserve">need</t>
  </si>
  <si>
    <t xml:space="preserve">what the plan needs to know</t>
  </si>
  <si>
    <t xml:space="preserve">required for Kyoto Trips slice</t>
  </si>
  <si>
    <t xml:space="preserve">where it is used</t>
  </si>
  <si>
    <t xml:space="preserve">lodging</t>
  </si>
  <si>
    <t xml:space="preserve">availability, rate, cancellation tier, coordinates</t>
  </si>
  <si>
    <t xml:space="preserve">yes</t>
  </si>
  <si>
    <t xml:space="preserve">anchor question, compare view (A3/A4)</t>
  </si>
  <si>
    <t xml:space="preserve">transport.intercity</t>
  </si>
  <si>
    <t xml:space="preserve">rail, bus, ferry, flights between cities</t>
  </si>
  <si>
    <t xml:space="preserve">recommended</t>
  </si>
  <si>
    <t xml:space="preserve">arrival/departure days</t>
  </si>
  <si>
    <t xml:space="preserve">transport.intercity.rail</t>
  </si>
  <si>
    <t xml:space="preserve">national/regional rail, passes</t>
  </si>
  <si>
    <t xml:space="preserve">transport.intercity.bus</t>
  </si>
  <si>
    <t xml:space="preserve">intercity coach</t>
  </si>
  <si>
    <t xml:space="preserve">no</t>
  </si>
  <si>
    <t xml:space="preserve">transport.intercity.ferry</t>
  </si>
  <si>
    <t xml:space="preserve">ferries</t>
  </si>
  <si>
    <t xml:space="preserve">other markets</t>
  </si>
  <si>
    <t xml:space="preserve">transport.cruise</t>
  </si>
  <si>
    <t xml:space="preserve">river/ocean cruises, ports</t>
  </si>
  <si>
    <t xml:space="preserve">transport.local</t>
  </si>
  <si>
    <t xml:space="preserve">metro/bus lines, passes, last trains, taxi norms</t>
  </si>
  <si>
    <t xml:space="preserve">plan-fit, day feasibility</t>
  </si>
  <si>
    <t xml:space="preserve">stop.hours</t>
  </si>
  <si>
    <t xml:space="preserve">opening hours, seasonal closures, special openings</t>
  </si>
  <si>
    <t xml:space="preserve">every located stop</t>
  </si>
  <si>
    <t xml:space="preserve">stop.ticketing</t>
  </si>
  <si>
    <t xml:space="preserve">advance-only, sells out by, timed entry, price</t>
  </si>
  <si>
    <t xml:space="preserve">temples, museums, shows</t>
  </si>
  <si>
    <t xml:space="preserve">dining</t>
  </si>
  <si>
    <t xml:space="preserve">reservation policy, hours, price level, dietary</t>
  </si>
  <si>
    <t xml:space="preserve">dinner items</t>
  </si>
  <si>
    <t xml:space="preserve">activity</t>
  </si>
  <si>
    <t xml:space="preserve">tours, classes, experiences, provider terms</t>
  </si>
  <si>
    <t xml:space="preserve">yes (platform listings first)</t>
  </si>
  <si>
    <t xml:space="preserve">suggestions, bookings</t>
  </si>
  <si>
    <t xml:space="preserve">event</t>
  </si>
  <si>
    <t xml:space="preserve">dated events, venues, ticket pages</t>
  </si>
  <si>
    <t xml:space="preserve">events strip, anchors (show occasion)</t>
  </si>
  <si>
    <t xml:space="preserve">practicalities</t>
  </si>
  <si>
    <t xml:space="preserve">visa, SIM, money, etiquette, safety notices</t>
  </si>
  <si>
    <t xml:space="preserve">help articles, Trip Card</t>
  </si>
  <si>
    <t xml:space="preserve">neighbourhood</t>
  </si>
  <si>
    <t xml:space="preserve">character, walkability, what is near</t>
  </si>
  <si>
    <t xml:space="preserve">anchor question, compare</t>
  </si>
  <si>
    <t xml:space="preserve">source_id</t>
  </si>
  <si>
    <t xml:space="preserve">name</t>
  </si>
  <si>
    <t xml:space="preserve">program_page (partner / API / about)</t>
  </si>
  <si>
    <t xml:space="preserve">content_url (what the adapter reads)</t>
  </si>
  <si>
    <t xml:space="preserve">kind</t>
  </si>
  <si>
    <t xml:space="preserve">adapter</t>
  </si>
  <si>
    <t xml:space="preserve">markets</t>
  </si>
  <si>
    <t xml:space="preserve">covers</t>
  </si>
  <si>
    <t xml:space="preserve">does_not_cover</t>
  </si>
  <si>
    <t xml:space="preserve">license_class</t>
  </si>
  <si>
    <t xml:space="preserve">key_status</t>
  </si>
  <si>
    <t xml:space="preserve">api_status</t>
  </si>
  <si>
    <t xml:space="preserve">terms_url</t>
  </si>
  <si>
    <t xml:space="preserve">terms_checked_at</t>
  </si>
  <si>
    <t xml:space="preserve">terms_checked_by</t>
  </si>
  <si>
    <t xml:space="preserve">active</t>
  </si>
  <si>
    <t xml:space="preserve">notes</t>
  </si>
  <si>
    <t xml:space="preserve">google_places</t>
  </si>
  <si>
    <t xml:space="preserve">Google Places API</t>
  </si>
  <si>
    <t xml:space="preserve">https://developers.google.com/maps/documentation/places</t>
  </si>
  <si>
    <t xml:space="preserve">API: Places API (New) — Place Details / Nearby Search / Text Search endpoints (no page)</t>
  </si>
  <si>
    <t xml:space="preserve">partner api</t>
  </si>
  <si>
    <t xml:space="preserve">api</t>
  </si>
  <si>
    <t xml:space="preserve">global</t>
  </si>
  <si>
    <t xml:space="preserve">stop.hours, dining, neighbourhood</t>
  </si>
  <si>
    <t xml:space="preserve">stop.ticketing, event, transport.intercity, transport.local</t>
  </si>
  <si>
    <t xml:space="preserve">restricted</t>
  </si>
  <si>
    <t xml:space="preserve">held (GOOGLE_MAPS_API_KEY)</t>
  </si>
  <si>
    <t xml:space="preserve">live</t>
  </si>
  <si>
    <t xml:space="preserve">Structured spine. Display inside plans next to a map only; cache &lt;= 30 days; never a public directory. Enable Places API (New) on the same project as Routes.</t>
  </si>
  <si>
    <t xml:space="preserve">google_routes</t>
  </si>
  <si>
    <t xml:space="preserve">Google Routes API (Compute Route Matrix)</t>
  </si>
  <si>
    <t xml:space="preserve">https://developers.google.com/maps/documentation/routes</t>
  </si>
  <si>
    <t xml:space="preserve">API: routes.googleapis.com computeRouteMatrix, travelMode WALK | TRANSIT (no page)</t>
  </si>
  <si>
    <t xml:space="preserve">transport.local, neighbourhood</t>
  </si>
  <si>
    <t xml:space="preserve">transport.local fares &amp; passes, last-service rules, transport.intercity.rail, lodging, activity, dining</t>
  </si>
  <si>
    <t xml:space="preserve">held (GOOGLE_MAPS_API_KEY; Routes API enabled on TLoure 2)</t>
  </si>
  <si>
    <t xml:space="preserve">live — first Kyoto refresh 2026-09-29 (128 elements, 64 walk / 64 transit)</t>
  </si>
  <si>
    <t xml:space="preserve">Feeds travel_time_matrix (A2). Transit durations come from operators' GTFS via Google. Cache limit is 30 days under Google's terms, which is why the refresh is monthly; do not lengthen it. Money and rules (passes, fares, last trains) come from the city transport source, not from here.</t>
  </si>
  <si>
    <t xml:space="preserve">booking_com</t>
  </si>
  <si>
    <t xml:space="preserve">Booking.com affiliate</t>
  </si>
  <si>
    <t xml:space="preserve">https://www.booking.com/affiliate-program/</t>
  </si>
  <si>
    <t xml:space="preserve">API only via the existing hotel_cache writer (no page crawl; Booking terms forbid it)</t>
  </si>
  <si>
    <t xml:space="preserve">partner feed</t>
  </si>
  <si>
    <t xml:space="preserve">affiliate_feed</t>
  </si>
  <si>
    <t xml:space="preserve">activity, transport.intercity, transport.local, dining</t>
  </si>
  <si>
    <t xml:space="preserve">partner</t>
  </si>
  <si>
    <t xml:space="preserve">not in production secrets (2026-09-28 list)</t>
  </si>
  <si>
    <t xml:space="preserve">writer exists (hotel_cache), 0 Kyoto rows</t>
  </si>
  <si>
    <t xml:space="preserve">Feeds hotel_cache. Production census shows 0 Kyoto hotels: secrets missing or API failing; Replit [BookingCom] log check pending.</t>
  </si>
  <si>
    <t xml:space="preserve">viator</t>
  </si>
  <si>
    <t xml:space="preserve">Viator Partner API</t>
  </si>
  <si>
    <t xml:space="preserve">https://partnerresources.viator.com/</t>
  </si>
  <si>
    <t xml:space="preserve">https://www.viator.com/Kyoto/d332-ttd  (Kyoto things-to-do; verify destination id) — prefer Partner API</t>
  </si>
  <si>
    <t xml:space="preserve">lodging, transport.intercity, transport.local, dining, event</t>
  </si>
  <si>
    <t xml:space="preserve">held (VIATOR_API_KEY, VIATOR_SANDBOX_API_KEY)</t>
  </si>
  <si>
    <t xml:space="preserve">key held; full Partner API access being requested</t>
  </si>
  <si>
    <t xml:space="preserve">Tours and experiences. Platform listings rank first; Viator fills gaps. Confirm which tier of access the key grants (affiliate vs merchant).</t>
  </si>
  <si>
    <t xml:space="preserve">getyourguide</t>
  </si>
  <si>
    <t xml:space="preserve">GetYourGuide Partner</t>
  </si>
  <si>
    <t xml:space="preserve">https://partner.getyourguide.com/</t>
  </si>
  <si>
    <t xml:space="preserve">https://www.getyourguide.com/kyoto-l96/  (verify location id) — prefer Partner API once approved</t>
  </si>
  <si>
    <t xml:space="preserve">lodging, transport.intercity, transport.local, dining</t>
  </si>
  <si>
    <t xml:space="preserve">none</t>
  </si>
  <si>
    <t xml:space="preserve">apply (Partner API + affiliate)</t>
  </si>
  <si>
    <t xml:space="preserve">Strong in Europe (Edinburgh, Porto) and Japan. Apply through the partner portal; API access is by approval.</t>
  </si>
  <si>
    <t xml:space="preserve">klook</t>
  </si>
  <si>
    <t xml:space="preserve">Klook Affiliate / Partner</t>
  </si>
  <si>
    <t xml:space="preserve">https://affiliate.klook.com/</t>
  </si>
  <si>
    <t xml:space="preserve">https://www.klook.com/city/29-kyoto/  (verify city id); JR Pass: https://www.klook.com/activity/1466-jr-pass-whole-japan/ (verify)</t>
  </si>
  <si>
    <t xml:space="preserve">kyoto, mumbai, goa, jaipur</t>
  </si>
  <si>
    <t xml:space="preserve">activity, stop.ticketing, transport.local, transport.intercity.rail, practicalities</t>
  </si>
  <si>
    <t xml:space="preserve">lodging, dining, transport.cruise</t>
  </si>
  <si>
    <t xml:space="preserve">apply (affiliate program; partner API by application)</t>
  </si>
  <si>
    <t xml:space="preserve">Asia-strong. Covers attraction tickets, JR Pass and rail passes, airport transfers, SIM/WiFi. Best current answer for Japan rail passes; JR schedules still need the operator source.</t>
  </si>
  <si>
    <t xml:space="preserve">musement</t>
  </si>
  <si>
    <t xml:space="preserve">Musement (TUI)</t>
  </si>
  <si>
    <t xml:space="preserve">https://www.musement.com/</t>
  </si>
  <si>
    <t xml:space="preserve">https://www.musement.com/us/porto/ ; https://www.musement.com/us/edinburgh/</t>
  </si>
  <si>
    <t xml:space="preserve">edinburgh, porto</t>
  </si>
  <si>
    <t xml:space="preserve">activity, stop.ticketing</t>
  </si>
  <si>
    <t xml:space="preserve">held (MUSEMENT_AFFILIATE_ID)</t>
  </si>
  <si>
    <t xml:space="preserve">affiliate id held</t>
  </si>
  <si>
    <t xml:space="preserve">Europe-heavy activities and attraction tickets. Low value for Kyoto; keep for Porto and Edinburgh.</t>
  </si>
  <si>
    <t xml:space="preserve">12go</t>
  </si>
  <si>
    <t xml:space="preserve">12Go (via Travelpayouts)</t>
  </si>
  <si>
    <t xml:space="preserve">https://12go.asia/</t>
  </si>
  <si>
    <t xml:space="preserve">https://12go.asia/en/travel/kyoto/osaka ; https://12go.asia/en/travel/mumbai/goa ; https://12go.asia/en/travel/delhi/jaipur</t>
  </si>
  <si>
    <t xml:space="preserve">mumbai, goa, jaipur, kyoto</t>
  </si>
  <si>
    <t xml:space="preserve">transport.intercity.bus, transport.intercity.ferry, transport.intercity.rail</t>
  </si>
  <si>
    <t xml:space="preserve">transport.intercity.rail (Japan JR), transport.cruise, transport.local, lodging, activity</t>
  </si>
  <si>
    <t xml:space="preserve">via TRAVELPAYOUTS_TOKEN (held)</t>
  </si>
  <si>
    <t xml:space="preserve">confirm 12Go program is enabled in the Travelpayouts account</t>
  </si>
  <si>
    <t xml:space="preserve">Bus, ferry and rail booking across South and Southeast Asia (Indian rail included). Does NOT sell JR trains or Japan Rail Pass; Japan coverage is thin. No cruises.</t>
  </si>
  <si>
    <t xml:space="preserve">travelpayouts</t>
  </si>
  <si>
    <t xml:space="preserve">Travelpayouts network</t>
  </si>
  <si>
    <t xml:space="preserve">https://www.travelpayouts.com/</t>
  </si>
  <si>
    <t xml:space="preserve">n/a — network; programs expose their own feeds/links</t>
  </si>
  <si>
    <t xml:space="preserve">network</t>
  </si>
  <si>
    <t xml:space="preserve">transport.intercity, lodging, activity</t>
  </si>
  <si>
    <t xml:space="preserve">stop.hours, stop.ticketing, dining, transport.local</t>
  </si>
  <si>
    <t xml:space="preserve">held (TRAVELPAYOUTS_TOKEN)</t>
  </si>
  <si>
    <t xml:space="preserve">Aggregator that carries 12Go, GetYourGuide, Klook and others as programs. A network row, not a fact source; register the programs you enable as their own rows.</t>
  </si>
  <si>
    <t xml:space="preserve">impact</t>
  </si>
  <si>
    <t xml:space="preserve">Impact network (Fever; Ticketmaster pending)</t>
  </si>
  <si>
    <t xml:space="preserve">https://app.impact.com/</t>
  </si>
  <si>
    <t xml:space="preserve">Fever content pages: https://feverup.com/en/&lt;city&gt;  (Fever has no Kyoto city page; check coverage per market)</t>
  </si>
  <si>
    <t xml:space="preserve">event, activity</t>
  </si>
  <si>
    <t xml:space="preserve">lodging, transport.intercity, transport.local, dining, stop.hours</t>
  </si>
  <si>
    <t xml:space="preserve">held (IMPACT_ACCOUNT_SID, IMPACT_AUTH_TOKEN)</t>
  </si>
  <si>
    <t xml:space="preserve">Fever live; Ticketmaster application submitted 2026-09-28</t>
  </si>
  <si>
    <t xml:space="preserve">Fever content comes through here today. Ticketmaster affiliate approval is separate from its Discovery API key.</t>
  </si>
  <si>
    <t xml:space="preserve">ticketmaster_discovery</t>
  </si>
  <si>
    <t xml:space="preserve">Ticketmaster Discovery API</t>
  </si>
  <si>
    <t xml:space="preserve">https://developer.ticketmaster.com/</t>
  </si>
  <si>
    <t xml:space="preserve">API: /discovery/v2/events?latlong=..&amp;radius=30&amp;unit=km (no page)</t>
  </si>
  <si>
    <t xml:space="preserve">lodging, activity, transport.intercity, transport.local, dining, stop.hours</t>
  </si>
  <si>
    <t xml:space="preserve">pending (TICKETMASTER_API_KEY not yet set)</t>
  </si>
  <si>
    <t xml:space="preserve">self-serve key</t>
  </si>
  <si>
    <t xml:space="preserve">Coverage in our eight cities is thin (strong US/UK/parts of Europe; weak Japan, India, Colombia; Portugal partial). Run scripts/probe-ticketmaster-coverage.cjs before relying on it.</t>
  </si>
  <si>
    <t xml:space="preserve">predicthq</t>
  </si>
  <si>
    <t xml:space="preserve">PredictHQ</t>
  </si>
  <si>
    <t xml:space="preserve">https://www.predicthq.com/</t>
  </si>
  <si>
    <t xml:space="preserve">API only; internal signal (never displayed)</t>
  </si>
  <si>
    <t xml:space="preserve">everything else</t>
  </si>
  <si>
    <t xml:space="preserve">held (PREDICTHQ_API_KEY)</t>
  </si>
  <si>
    <t xml:space="preserve">live (trend engine)</t>
  </si>
  <si>
    <t xml:space="preserve">Terms forbid public display in raw form. Internal signal only (TravelPulse). Not a source for the events strip or plan facts shown to travelers.</t>
  </si>
  <si>
    <t xml:space="preserve">besttime</t>
  </si>
  <si>
    <t xml:space="preserve">BestTime</t>
  </si>
  <si>
    <t xml:space="preserve">https://besttime.app/</t>
  </si>
  <si>
    <t xml:space="preserve">API only (venue busyness forecasts)</t>
  </si>
  <si>
    <t xml:space="preserve">held (BESTTIME_API_KEY)</t>
  </si>
  <si>
    <t xml:space="preserve">Busy-hours forecasts, not opening hours. Useful for 'before the coaches arrive' timing inside plans. Check display terms before any public use.</t>
  </si>
  <si>
    <t xml:space="preserve">xcaret</t>
  </si>
  <si>
    <t xml:space="preserve">Grupo Xcaret parks</t>
  </si>
  <si>
    <t xml:space="preserve">https://www.xcaret.com/</t>
  </si>
  <si>
    <t xml:space="preserve">https://www.xcaret.com/en/  (parked)</t>
  </si>
  <si>
    <t xml:space="preserve">(no current market)</t>
  </si>
  <si>
    <t xml:space="preserve">parked</t>
  </si>
  <si>
    <t xml:space="preserve">Mexico (Riviera Maya) parks. Not in any of the eight markets; register only if a Mexico market opens. Kept here so the idea isn't lost.</t>
  </si>
  <si>
    <t xml:space="preserve">kyoto_travel</t>
  </si>
  <si>
    <t xml:space="preserve">Kyoto City Official Travel Guide</t>
  </si>
  <si>
    <t xml:space="preserve">https://kyoto.travel/en/</t>
  </si>
  <si>
    <t xml:space="preserve">https://kyoto.travel/en/event/  (events); https://kyoto.travel/en/see-and-do/  (sites &amp; areas); seasonal notices on the top page</t>
  </si>
  <si>
    <t xml:space="preserve">official</t>
  </si>
  <si>
    <t xml:space="preserve">tavily_extract</t>
  </si>
  <si>
    <t xml:space="preserve">kyoto</t>
  </si>
  <si>
    <t xml:space="preserve">stop.hours, event, neighbourhood, practicalities</t>
  </si>
  <si>
    <t xml:space="preserve">lodging, dining, transport.intercity, stop.ticketing</t>
  </si>
  <si>
    <t xml:space="preserve">n/a</t>
  </si>
  <si>
    <t xml:space="preserve">City tourism body. Seasonal notices, festival dates, area guides. Read terms before activating; prefer extract of specific pages over crawling.</t>
  </si>
  <si>
    <t xml:space="preserve">jnto</t>
  </si>
  <si>
    <t xml:space="preserve">Japan National Tourism Organization</t>
  </si>
  <si>
    <t xml:space="preserve">https://www.japan.travel/en/</t>
  </si>
  <si>
    <t xml:space="preserve">https://www.japan.travel/en/destinations/kansai/kyoto/ ; practicalities: https://www.japan.travel/en/plan/</t>
  </si>
  <si>
    <t xml:space="preserve">practicalities, event, stop.hours</t>
  </si>
  <si>
    <t xml:space="preserve">lodging, dining, transport.local</t>
  </si>
  <si>
    <t xml:space="preserve">National body. Practicalities (visa, SIM, money, etiquette) and major-site hours. JNTO also runs a press/media image library (separate terms).</t>
  </si>
  <si>
    <t xml:space="preserve">kyoto_city_transport</t>
  </si>
  <si>
    <t xml:space="preserve">Kyoto City Transportation Bureau (bus &amp; subway)</t>
  </si>
  <si>
    <t xml:space="preserve">https://www2.city.kyoto.lg.jp/kotsu/webguide/en/</t>
  </si>
  <si>
    <t xml:space="preserve">https://www2.city.kyoto.lg.jp/kotsu/webguide/en/  (routes, passes, last services) — this IS the content page</t>
  </si>
  <si>
    <t xml:space="preserve">Bus and subway lines, passes, last services. Operator source for local transit facts.</t>
  </si>
  <si>
    <t xml:space="preserve">jr_west</t>
  </si>
  <si>
    <t xml:space="preserve">JR West</t>
  </si>
  <si>
    <t xml:space="preserve">https://www.westjr.co.jp/global/en/</t>
  </si>
  <si>
    <t xml:space="preserve">https://www.westjr.co.jp/global/en/timetable/  (timetables); fares &amp; passes: https://www.westjr.co.jp/global/en/ticket/</t>
  </si>
  <si>
    <t xml:space="preserve">transport.local, lodging, activity</t>
  </si>
  <si>
    <t xml:space="preserve">n/a (API later)</t>
  </si>
  <si>
    <t xml:space="preserve">Kyoto-Osaka-Kobe-Kansai Airport rail. Closes the JR gap that 12Go and Klook leave (schedules, not just passes).</t>
  </si>
  <si>
    <t xml:space="preserve">jr_central</t>
  </si>
  <si>
    <t xml:space="preserve">JR Central</t>
  </si>
  <si>
    <t xml:space="preserve">https://global.jr-central.co.jp/en/</t>
  </si>
  <si>
    <t xml:space="preserve">https://global.jr-central.co.jp/en/info/timetable/  (Tokaido Shinkansen timetable)</t>
  </si>
  <si>
    <t xml:space="preserve">Tokaido Shinkansen (Tokyo-Kyoto). Same gap as JR West, eastbound.</t>
  </si>
  <si>
    <t xml:space="preserve">kyoto_stop_official</t>
  </si>
  <si>
    <t xml:space="preserve">Temple / shrine / museum official pages (one row per stop when registered)</t>
  </si>
  <si>
    <t xml:space="preserve">(per stop)</t>
  </si>
  <si>
    <t xml:space="preserve">per stop, e.g. https://inari.jp/en/ ; https://www.kiyomizudera.or.jp/en/ ; https://www.shokoku-ji.jp/en/kinkakuji/  (hours/admission pages on each)</t>
  </si>
  <si>
    <t xml:space="preserve">stop.hours, stop.ticketing</t>
  </si>
  <si>
    <t xml:space="preserve">Template row. Each registered stop page becomes its own row (e.g. Fushimi Inari, Kiyomizu-dera, Kinkaku-ji). Extract, never crawl; TTL 7 days for hours.</t>
  </si>
  <si>
    <t xml:space="preserve">kyoto_editorial_1</t>
  </si>
  <si>
    <t xml:space="preserve">Editorial local #1 (to choose)</t>
  </si>
  <si>
    <t xml:space="preserve">(to choose) — register the section index page (e.g. /kyoto/eat/), not the homepage</t>
  </si>
  <si>
    <t xml:space="preserve">editorial</t>
  </si>
  <si>
    <t xml:space="preserve">tip, neighbourhood, dining</t>
  </si>
  <si>
    <t xml:space="preserve">lodging, transport.intercity, stop.ticketing</t>
  </si>
  <si>
    <t xml:space="preserve">Decision 4 in the brief. Candidates only after reading terms: a local English-language publication with a stable URL structure. Quotes capped by BLOG_QUOTE_MAX_CHARS; linked out, never republished.</t>
  </si>
  <si>
    <t xml:space="preserve">visitscotland</t>
  </si>
  <si>
    <t xml:space="preserve">VisitScotland</t>
  </si>
  <si>
    <t xml:space="preserve">https://www.visitscotland.com/</t>
  </si>
  <si>
    <t xml:space="preserve">https://www.visitscotland.com/things-to-do/events ; https://www.visitscotland.com/places-to-go/edinburgh</t>
  </si>
  <si>
    <t xml:space="preserve">edinburgh</t>
  </si>
  <si>
    <t xml:space="preserve">stop.hours, event, practicalities, neighbourhood</t>
  </si>
  <si>
    <t xml:space="preserve">lodging, dining, transport.intercity</t>
  </si>
  <si>
    <t xml:space="preserve">Candidate; terms unchecked.</t>
  </si>
  <si>
    <t xml:space="preserve">lothian_buses</t>
  </si>
  <si>
    <t xml:space="preserve">Lothian Buses / Edinburgh Trams</t>
  </si>
  <si>
    <t xml:space="preserve">https://www.lothianbuses.com/</t>
  </si>
  <si>
    <t xml:space="preserve">https://www.lothianbuses.com/timetables-and-maps/</t>
  </si>
  <si>
    <t xml:space="preserve">scotrail</t>
  </si>
  <si>
    <t xml:space="preserve">ScotRail</t>
  </si>
  <si>
    <t xml:space="preserve">https://www.scotrail.co.uk/</t>
  </si>
  <si>
    <t xml:space="preserve">https://www.scotrail.co.uk/plan-your-journey/timetables</t>
  </si>
  <si>
    <t xml:space="preserve">visit_porto</t>
  </si>
  <si>
    <t xml:space="preserve">Visit Porto (official)</t>
  </si>
  <si>
    <t xml:space="preserve">https://visitporto.travel/</t>
  </si>
  <si>
    <t xml:space="preserve">https://visitporto.travel/en-GB/agenda  (events; verify path) ; https://visitporto.travel/en-GB/what-to-do</t>
  </si>
  <si>
    <t xml:space="preserve">porto</t>
  </si>
  <si>
    <t xml:space="preserve">porto_transit</t>
  </si>
  <si>
    <t xml:space="preserve">STCP / Metro do Porto</t>
  </si>
  <si>
    <t xml:space="preserve">https://www.metrodoporto.pt/</t>
  </si>
  <si>
    <t xml:space="preserve">https://en.metrodoporto.pt/  (lines &amp; schedules); STCP: https://www.stcp.pt/en/travel/</t>
  </si>
  <si>
    <t xml:space="preserve">cp_portugal</t>
  </si>
  <si>
    <t xml:space="preserve">CP — Comboios de Portugal</t>
  </si>
  <si>
    <t xml:space="preserve">https://www.cp.pt/</t>
  </si>
  <si>
    <t xml:space="preserve">https://www.cp.pt/passageiros/en/train-times</t>
  </si>
  <si>
    <t xml:space="preserve">idt_bogota</t>
  </si>
  <si>
    <t xml:space="preserve">Instituto Distrital de Turismo (Bogotá)</t>
  </si>
  <si>
    <t xml:space="preserve">https://bogotadc.travel/</t>
  </si>
  <si>
    <t xml:space="preserve">https://bogotadc.travel/en  (events &amp; things to do sections; verify paths)</t>
  </si>
  <si>
    <t xml:space="preserve">bogota</t>
  </si>
  <si>
    <t xml:space="preserve">transmilenio</t>
  </si>
  <si>
    <t xml:space="preserve">TransMilenio</t>
  </si>
  <si>
    <t xml:space="preserve">https://www.transmilenio.gov.co/</t>
  </si>
  <si>
    <t xml:space="preserve">https://www.transmilenio.gov.co/loader.php?lServicio=Rutas  (routes; verify)</t>
  </si>
  <si>
    <t xml:space="preserve">cartagena_tourism</t>
  </si>
  <si>
    <t xml:space="preserve">Corporación Turismo Cartagena de Indias</t>
  </si>
  <si>
    <t xml:space="preserve">https://cartagenadeindias.travel/</t>
  </si>
  <si>
    <t xml:space="preserve">https://cartagenadeindias.travel/  (events &amp; sites sections; verify paths)</t>
  </si>
  <si>
    <t xml:space="preserve">cartagena</t>
  </si>
  <si>
    <t xml:space="preserve">incredible_india</t>
  </si>
  <si>
    <t xml:space="preserve">Incredible India (Ministry of Tourism)</t>
  </si>
  <si>
    <t xml:space="preserve">https://www.incredibleindia.gov.in/</t>
  </si>
  <si>
    <t xml:space="preserve">https://www.incredibleindia.gov.in/en/destinations  (state/city pages)</t>
  </si>
  <si>
    <t xml:space="preserve">mumbai, goa, jaipur</t>
  </si>
  <si>
    <t xml:space="preserve">irctc</t>
  </si>
  <si>
    <t xml:space="preserve">IRCTC (Indian Railways)</t>
  </si>
  <si>
    <t xml:space="preserve">https://www.irctc.co.in/</t>
  </si>
  <si>
    <t xml:space="preserve">n/a — reference only; no automated access</t>
  </si>
  <si>
    <t xml:space="preserve">manual</t>
  </si>
  <si>
    <t xml:space="preserve">no public API for third parties</t>
  </si>
  <si>
    <t xml:space="preserve">Automated access is restricted; 12Go resells Indian rail. Keep as reference only; do not crawl.</t>
  </si>
  <si>
    <t xml:space="preserve">goa_tourism</t>
  </si>
  <si>
    <t xml:space="preserve">Goa Tourism (GTDC)</t>
  </si>
  <si>
    <t xml:space="preserve">https://goa-tourism.com/</t>
  </si>
  <si>
    <t xml:space="preserve">https://goa-tourism.com/  (events &amp; places sections; verify paths)</t>
  </si>
  <si>
    <t xml:space="preserve">goa</t>
  </si>
  <si>
    <t xml:space="preserve">stop.hours, event, practicalities</t>
  </si>
  <si>
    <t xml:space="preserve">Candidate; terms unchecked. Sunburn dates come from the organiser, not here.</t>
  </si>
  <si>
    <t xml:space="preserve">rtdc_rajasthan</t>
  </si>
  <si>
    <t xml:space="preserve">Rajasthan Tourism (RTDC)</t>
  </si>
  <si>
    <t xml:space="preserve">https://www.tourism.rajasthan.gov.in/</t>
  </si>
  <si>
    <t xml:space="preserve">https://www.tourism.rajasthan.gov.in/jaipur.html  (verify)</t>
  </si>
  <si>
    <t xml:space="preserve">jaipur</t>
  </si>
  <si>
    <t xml:space="preserve">required for slice</t>
  </si>
  <si>
    <t xml:space="preserve">active sources covering it (Kyoto or global)</t>
  </si>
  <si>
    <t xml:space="preserve">status</t>
  </si>
  <si>
    <t xml:space="preserve">candidate sources (any status)</t>
  </si>
  <si>
    <t xml:space="preserve">Every source ships with active = no, so every required need reads GAP until you check terms and flip rows to yes. That is the point: the report tells you what to do next. Column E shows how many candidates exist regardless of status.</t>
  </si>
  <si>
    <t xml:space="preserve">market</t>
  </si>
  <si>
    <t xml:space="preserve">role (roles_needed key)</t>
  </si>
  <si>
    <t xml:space="preserve">where they are found</t>
  </si>
  <si>
    <t xml:space="preserve">lookup_url (where to look)</t>
  </si>
  <si>
    <t xml:space="preserve">outreach method</t>
  </si>
  <si>
    <t xml:space="preserve">in-platform path</t>
  </si>
  <si>
    <t xml:space="preserve">license / etiquette note</t>
  </si>
  <si>
    <t xml:space="preserve">contacted_at</t>
  </si>
  <si>
    <t xml:space="preserve">contacted_by</t>
  </si>
  <si>
    <t xml:space="preserve">outcome</t>
  </si>
  <si>
    <t xml:space="preserve">kyoto_licensed_guides</t>
  </si>
  <si>
    <t xml:space="preserve">tour_guide</t>
  </si>
  <si>
    <t xml:space="preserve">National Government Licensed Guide Interpreter registry (JNTO-listed associations, e.g. JFG / KSGG for Kansai)</t>
  </si>
  <si>
    <t xml:space="preserve">JNTO guide-interpreter search: https://www.japan.travel/en/plan/guide-services/  (verify); Kansai associations via that listing</t>
  </si>
  <si>
    <t xml:space="preserve">registry / association</t>
  </si>
  <si>
    <t xml:space="preserve">email the association; ask to circulate the Ways to earn page to Kyoto members</t>
  </si>
  <si>
    <t xml:space="preserve">/earn?role=service_provider (tour_guide)</t>
  </si>
  <si>
    <t xml:space="preserve">Licensed guides are the compliant in-person guiding role (expert catalog: in-person guiding is a provider role). Do not scrape member lists; ask the association to forward.</t>
  </si>
  <si>
    <t xml:space="preserve">Highest priority: the golden path's 'hand it to a local' and A6 suggestions need at least 2 approved guides with live listings.</t>
  </si>
  <si>
    <t xml:space="preserve">kyoto_city_certified_guides</t>
  </si>
  <si>
    <t xml:space="preserve">Kyoto City Certified Tourist Guide programme (Kyoto Convention &amp; Visitors Bureau)</t>
  </si>
  <si>
    <t xml:space="preserve">Kyoto CVB: https://www.kyoto.travel/en/  (guide programme page; verify path)</t>
  </si>
  <si>
    <t xml:space="preserve">registry</t>
  </si>
  <si>
    <t xml:space="preserve">contact KCVB; request introduction to certified guides interested in independent bookings</t>
  </si>
  <si>
    <t xml:space="preserve">City programme; guides may be bound to KCVB booking channels. Ask before listing.</t>
  </si>
  <si>
    <t xml:space="preserve">kyoto_charter_taxi</t>
  </si>
  <si>
    <t xml:space="preserve">private_transportation</t>
  </si>
  <si>
    <t xml:space="preserve">MK Taxi / Yasaka Taxi charter desks; Kyoto Hire-Taxi Association</t>
  </si>
  <si>
    <t xml:space="preserve">https://www.mk-group.co.jp/english/  (charter); Yasaka: https://www.yasaka.jp/english/  (verify)</t>
  </si>
  <si>
    <t xml:space="preserve">operator / association</t>
  </si>
  <si>
    <t xml:space="preserve">direct email to charter desk; propose listing sightseeing charters as a bookable service</t>
  </si>
  <si>
    <t xml:space="preserve">/earn?role=service_provider (private_transportation)</t>
  </si>
  <si>
    <t xml:space="preserve">Charter fares are regulated; list published charter rates only. Drivers cannot be individually recruited off an operator.</t>
  </si>
  <si>
    <t xml:space="preserve">kyoto_photographers</t>
  </si>
  <si>
    <t xml:space="preserve">photography</t>
  </si>
  <si>
    <t xml:space="preserve">Independent photographers: Kyoto studios offering location shoots; JPS (Japan Professional Photographers Society) Kansai; Instagram location tags (manual, no scraping)</t>
  </si>
  <si>
    <t xml:space="preserve">manual: search 'Kyoto photographer location shoot English' ; JPS: https://www.jps.gr.jp/  (Japanese)</t>
  </si>
  <si>
    <t xml:space="preserve">association / manual</t>
  </si>
  <si>
    <t xml:space="preserve">personal outreach by DM or email with the storefront pitch; two or three named people, not a list</t>
  </si>
  <si>
    <t xml:space="preserve">/earn?role=service_provider (photography)</t>
  </si>
  <si>
    <t xml:space="preserve">No scraping of Instagram. One-to-one messages only; keep a log of who was contacted.</t>
  </si>
  <si>
    <t xml:space="preserve">Honeymoon / anniversary / proposal occasions all list photography in roles_needed.</t>
  </si>
  <si>
    <t xml:space="preserve">kyoto_activity_hosts</t>
  </si>
  <si>
    <t xml:space="preserve">activity_provider</t>
  </si>
  <si>
    <t xml:space="preserve">Tea ceremony, cooking class, kimono, craft workshop hosts (many already list on Viator / Klook / GetYourGuide)</t>
  </si>
  <si>
    <t xml:space="preserve">discovery: Viator/Klook/GetYourGuide Kyoto pages (see Sources content_url)</t>
  </si>
  <si>
    <t xml:space="preserve">partner listings (discovery only)</t>
  </si>
  <si>
    <t xml:space="preserve">find hosts via partner listings, then approach them directly for a Traveloure listing at their own price</t>
  </si>
  <si>
    <t xml:space="preserve">/earn?role=service_provider (activity_provider)</t>
  </si>
  <si>
    <t xml:space="preserve">Partner listings are for discovering who exists; the Traveloure listing is theirs, priced by them. Never copy a partner listing's text.</t>
  </si>
  <si>
    <t xml:space="preserve">kyoto_dining</t>
  </si>
  <si>
    <t xml:space="preserve">dining_venue</t>
  </si>
  <si>
    <t xml:space="preserve">Restaurants that take reservations for visitors (kaiseki, izakaya with English booking); reservation platforms (TableCheck, Omakase, Pocket Concierge) as discovery only</t>
  </si>
  <si>
    <t xml:space="preserve">discovery: https://www.tablecheck.com/en/kyoto  ; https://pocket-concierge.jp/en/  (verify) — then go direct</t>
  </si>
  <si>
    <t xml:space="preserve">venue / platform (discovery only)</t>
  </si>
  <si>
    <t xml:space="preserve">approach venues directly; dining_venue listings hold a reservation policy and a price level, not a menu</t>
  </si>
  <si>
    <t xml:space="preserve">/earn?role=service_provider (dining_venue)</t>
  </si>
  <si>
    <t xml:space="preserve">Reservation platforms' terms forbid automated use; use them to find venues, then go direct. Expert nuggets carry reservation tips in plans.</t>
  </si>
  <si>
    <t xml:space="preserve">The 'dining' need has no content source; this is where it gets covered, one venue at a time plus expert tips.</t>
  </si>
  <si>
    <t xml:space="preserve">kyoto_golf</t>
  </si>
  <si>
    <t xml:space="preserve">Golf courses within reach of Kyoto (course offices; JGTO-listed clubs); golf travel operators</t>
  </si>
  <si>
    <t xml:space="preserve">course sites via JGA course finder: https://www.jga.or.jp/  (Japanese); Kansai course lists on golf travel operators (discovery)</t>
  </si>
  <si>
    <t xml:space="preserve">venue / operator</t>
  </si>
  <si>
    <t xml:space="preserve">contact course offices for visitor tee-time policies; list as bookable where they allow third-party booking</t>
  </si>
  <si>
    <t xml:space="preserve">Many private clubs require member introduction; list only courses that accept visitor bookings. golf-trip's primary anchor is the tee time (M7).</t>
  </si>
  <si>
    <t xml:space="preserve">kyoto_ryokan_direct</t>
  </si>
  <si>
    <t xml:space="preserve">accommodation</t>
  </si>
  <si>
    <t xml:space="preserve">Ryokan and small hotels that don't distribute through Booking.com (Kyoto Ryokan Association)</t>
  </si>
  <si>
    <t xml:space="preserve">Kyoto Ryokan Association: https://kyoto-ryokan.or.jp/  (verify; Japanese)</t>
  </si>
  <si>
    <t xml:space="preserve">association</t>
  </si>
  <si>
    <t xml:space="preserve">ask the association to circulate; ryokan list rooms with tier and house rules through the property form</t>
  </si>
  <si>
    <t xml:space="preserve">/earn?role=service_provider (accommodation)</t>
  </si>
  <si>
    <t xml:space="preserve">Properties set cancellation tier at property level (#1134). Rooms without tier inherit it.</t>
  </si>
  <si>
    <t xml:space="preserve">Only matters if Booking.com coverage stays thin; hotel_cache is the anchor source first.</t>
  </si>
  <si>
    <t xml:space="preserve">kyoto_concierge</t>
  </si>
  <si>
    <t xml:space="preserve">concierge_vip</t>
  </si>
  <si>
    <t xml:space="preserve">Hotel concierge alumni, bilingual coordinators, relocation consultants (Les Clefs d'Or Japan for introductions)</t>
  </si>
  <si>
    <t xml:space="preserve">Les Clefs d'Or Japan: https://www.lesclefsdor.jp/  (verify)</t>
  </si>
  <si>
    <t xml:space="preserve">personal introductions; this role overlaps the expert 'coordination' tier</t>
  </si>
  <si>
    <t xml:space="preserve">/earn?role=local_expert (coordination) or service_provider (concierge_vip)</t>
  </si>
  <si>
    <t xml:space="preserve">Reservation Lifeline and done-for-you booking are expert offerings; in-person accompaniment is a provider role. Point people to the right door.</t>
  </si>
  <si>
    <t xml:space="preserve">edinburgh_guides</t>
  </si>
  <si>
    <t xml:space="preserve">Scottish Tourist Guides Association (Blue Badge)</t>
  </si>
  <si>
    <t xml:space="preserve">https://www.stga.co.uk/</t>
  </si>
  <si>
    <t xml:space="preserve">email the association</t>
  </si>
  <si>
    <t xml:space="preserve">Blue Badge is the recognised standard; ask the STGA to forward.</t>
  </si>
  <si>
    <t xml:space="preserve">Candidate; not contacted.</t>
  </si>
  <si>
    <t xml:space="preserve">porto_guides</t>
  </si>
  <si>
    <t xml:space="preserve">Licensed guides via Turismo de Portugal registry (RNAAT operators; guia-intérprete)</t>
  </si>
  <si>
    <t xml:space="preserve">RNAAT registry: https://rnt.turismodeportugal.pt/  (verify); AGIC: https://www.agic.pt/  (verify)</t>
  </si>
  <si>
    <t xml:space="preserve">contact registered operators; individual guides via AGIC (Portuguese guides association)</t>
  </si>
  <si>
    <t xml:space="preserve">RNAAT registration is the compliance marker for activity operators.</t>
  </si>
  <si>
    <t xml:space="preserve">bogota_guides</t>
  </si>
  <si>
    <t xml:space="preserve">Registro Nacional de Turismo (RNT) guides; Bogotá guide associations</t>
  </si>
  <si>
    <t xml:space="preserve">RNT: https://rnt.confecamaras.co/  (verify); IDT: https://bogotadc.travel/</t>
  </si>
  <si>
    <t xml:space="preserve">contact via IDT or associations</t>
  </si>
  <si>
    <t xml:space="preserve">RNT is mandatory for tourism services in Colombia; list only RNT-registered providers.</t>
  </si>
  <si>
    <t xml:space="preserve">cartagena_guides</t>
  </si>
  <si>
    <t xml:space="preserve">RNT-registered guides and boat operators (Corporación Turismo Cartagena)</t>
  </si>
  <si>
    <t xml:space="preserve">RNT: https://rnt.confecamaras.co/  (verify); https://cartagenadeindias.travel/</t>
  </si>
  <si>
    <t xml:space="preserve">contact via the corporation</t>
  </si>
  <si>
    <t xml:space="preserve">/earn?role=service_provider (tour_guide, private_transportation)</t>
  </si>
  <si>
    <t xml:space="preserve">RNT required. Boat trips to the islands are a transport + activity combination.</t>
  </si>
  <si>
    <t xml:space="preserve">india_guides</t>
  </si>
  <si>
    <t xml:space="preserve">Ministry of Tourism Regional Level Guides (RLG) / IITFC-certified guides; state tourism guide lists</t>
  </si>
  <si>
    <t xml:space="preserve">Ministry of Tourism guide programme: https://tourism.gov.in/  (RLG / IITFC pages; verify)</t>
  </si>
  <si>
    <t xml:space="preserve">contact via state tourism offices and guide associations</t>
  </si>
  <si>
    <t xml:space="preserve">Certified-guide lists exist per state; ask the office to circulate rather than copying lists.</t>
  </si>
  <si>
    <t xml:space="preserve">india_drivers</t>
  </si>
  <si>
    <t xml:space="preserve">Tourist-permit car operators (state tourism approved); Goa taxi associations</t>
  </si>
  <si>
    <t xml:space="preserve">state tourism offices; Goa: https://goa-tourism.com/  (approved operators section; verify)</t>
  </si>
  <si>
    <t xml:space="preserve">direct to operators with tourist permits</t>
  </si>
  <si>
    <t xml:space="preserve">List operators, not individual drivers; tourist permit required.</t>
  </si>
  <si>
    <t xml:space="preserve">all_markets_photographers</t>
  </si>
  <si>
    <t xml:space="preserve">all</t>
  </si>
  <si>
    <t xml:space="preserve">Local photographer associations; wedding/photo studios listed on partner sites (discovery only)</t>
  </si>
  <si>
    <t xml:space="preserve">per market, manual</t>
  </si>
  <si>
    <t xml:space="preserve">personal outreach, two or three per market</t>
  </si>
  <si>
    <t xml:space="preserve">No scraping; log contacts.</t>
  </si>
  <si>
    <t xml:space="preserve">Template row per market.</t>
  </si>
  <si>
    <t xml:space="preserve">all_markets_event_vendors</t>
  </si>
  <si>
    <t xml:space="preserve">event_coordinator, caterer, florist, av_tech, rentals, venue</t>
  </si>
  <si>
    <t xml:space="preserve">Wedding/event vendor directories (discovery only), venue sales offices, hotel banquet teams</t>
  </si>
  <si>
    <t xml:space="preserve">per market, manual; venues first</t>
  </si>
  <si>
    <t xml:space="preserve">directory (discovery only) / venue</t>
  </si>
  <si>
    <t xml:space="preserve">direct outreach; venues first, vendors via venues</t>
  </si>
  <si>
    <t xml:space="preserve">/earn?role=service_provider (venue, event_coordinator, ...)</t>
  </si>
  <si>
    <t xml:space="preserve">Directories' terms forbid automated use; use for discovery, go direct. Hosted events and Celebrations groups are Track B.</t>
  </si>
  <si>
    <t xml:space="preserve">Template row per market; not needed for the Kyoto Trips slice.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</si>
</sst>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C2540"/>
        <bgColor rgb="FF003366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C254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C25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0"/>
  </cols>
  <sheetData>
    <row r="1" customFormat="false" ht="15" hidden="false" customHeight="true" outlineLevel="0" collapsed="false">
      <c r="A1" s="2" t="s">
        <v>0</v>
      </c>
    </row>
    <row r="2" customFormat="false" ht="23.25" hidden="false" customHeight="true" outlineLevel="0" collapsed="false">
      <c r="A2" s="3" t="s">
        <v>1</v>
      </c>
    </row>
    <row r="3" customFormat="false" ht="15" hidden="false" customHeight="true" outlineLevel="0" collapsed="false">
      <c r="A3" s="3"/>
    </row>
    <row r="4" customFormat="false" ht="15" hidden="false" customHeight="true" outlineLevel="0" collapsed="false">
      <c r="A4" s="2" t="s">
        <v>2</v>
      </c>
    </row>
    <row r="5" customFormat="false" ht="23.25" hidden="false" customHeight="true" outlineLevel="0" collapsed="false">
      <c r="A5" s="3" t="s">
        <v>3</v>
      </c>
    </row>
    <row r="6" customFormat="false" ht="15" hidden="false" customHeight="true" outlineLevel="0" collapsed="false">
      <c r="A6" s="3" t="s">
        <v>4</v>
      </c>
    </row>
    <row r="7" customFormat="false" ht="15" hidden="false" customHeight="true" outlineLevel="0" collapsed="false">
      <c r="A7" s="3" t="s">
        <v>5</v>
      </c>
    </row>
    <row r="8" customFormat="false" ht="15" hidden="false" customHeight="true" outlineLevel="0" collapsed="false">
      <c r="A8" s="3" t="s">
        <v>6</v>
      </c>
    </row>
    <row r="9" customFormat="false" ht="23.25" hidden="false" customHeight="true" outlineLevel="0" collapsed="false">
      <c r="A9" s="3" t="s">
        <v>7</v>
      </c>
    </row>
    <row r="10" customFormat="false" ht="23.25" hidden="false" customHeight="true" outlineLevel="0" collapsed="false">
      <c r="A10" s="3" t="s">
        <v>8</v>
      </c>
    </row>
    <row r="11" customFormat="false" ht="23.25" hidden="false" customHeight="true" outlineLevel="0" collapsed="false">
      <c r="A11" s="3" t="s">
        <v>9</v>
      </c>
    </row>
    <row r="12" customFormat="false" ht="15" hidden="false" customHeight="true" outlineLevel="0" collapsed="false">
      <c r="A12" s="3"/>
    </row>
    <row r="13" customFormat="false" ht="15" hidden="false" customHeight="true" outlineLevel="0" collapsed="false">
      <c r="A13" s="2" t="s">
        <v>10</v>
      </c>
    </row>
    <row r="14" customFormat="false" ht="15" hidden="false" customHeight="true" outlineLevel="0" collapsed="false">
      <c r="A14" s="3" t="s">
        <v>11</v>
      </c>
    </row>
    <row r="15" customFormat="false" ht="15" hidden="false" customHeight="true" outlineLevel="0" collapsed="false">
      <c r="A15" s="3" t="s">
        <v>12</v>
      </c>
    </row>
    <row r="16" customFormat="false" ht="15" hidden="false" customHeight="true" outlineLevel="0" collapsed="false">
      <c r="A16" s="3"/>
    </row>
    <row r="17" customFormat="false" ht="23.25" hidden="false" customHeight="true" outlineLevel="0" collapsed="false">
      <c r="A17" s="3" t="s">
        <v>13</v>
      </c>
    </row>
    <row r="19" customFormat="false" ht="15" hidden="false" customHeight="true" outlineLevel="0" collapsed="false">
      <c r="A19" s="4" t="s">
        <v>14</v>
      </c>
    </row>
    <row r="20" customFormat="false" ht="23.25" hidden="false" customHeight="true" outlineLevel="0" collapsed="false">
      <c r="A20" s="3" t="s">
        <v>15</v>
      </c>
    </row>
    <row r="21" customFormat="false" ht="15" hidden="false" customHeight="true" outlineLevel="0" collapsed="false">
      <c r="A21" s="3" t="s">
        <v>16</v>
      </c>
    </row>
    <row r="22" customFormat="false" ht="23.25" hidden="false" customHeight="true" outlineLevel="0" collapsed="false">
      <c r="A22" s="3" t="s">
        <v>17</v>
      </c>
    </row>
    <row r="23" customFormat="false" ht="34.5" hidden="false" customHeight="true" outlineLevel="0" collapsed="false">
      <c r="A23" s="3" t="s">
        <v>18</v>
      </c>
    </row>
    <row r="25" customFormat="false" ht="15" hidden="false" customHeight="true" outlineLevel="0" collapsed="false">
      <c r="A25" s="4" t="s">
        <v>19</v>
      </c>
    </row>
    <row r="26" customFormat="false" ht="34.5" hidden="false" customHeight="true" outlineLevel="0" collapsed="false">
      <c r="A26" s="3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52"/>
    <col collapsed="false" customWidth="true" hidden="false" outlineLevel="0" max="3" min="3" style="1" width="26"/>
    <col collapsed="false" customWidth="true" hidden="false" outlineLevel="0" max="4" min="4" style="1" width="40"/>
  </cols>
  <sheetData>
    <row r="1" customFormat="false" ht="15" hidden="false" customHeight="true" outlineLevel="0" collapsed="false">
      <c r="A1" s="5" t="s">
        <v>21</v>
      </c>
      <c r="B1" s="5" t="s">
        <v>22</v>
      </c>
      <c r="C1" s="5" t="s">
        <v>23</v>
      </c>
      <c r="D1" s="5" t="s">
        <v>24</v>
      </c>
    </row>
    <row r="2" customFormat="false" ht="15" hidden="false" customHeight="true" outlineLevel="0" collapsed="false">
      <c r="A2" s="6" t="s">
        <v>25</v>
      </c>
      <c r="B2" s="6" t="s">
        <v>26</v>
      </c>
      <c r="C2" s="6" t="s">
        <v>27</v>
      </c>
      <c r="D2" s="6" t="s">
        <v>28</v>
      </c>
    </row>
    <row r="3" customFormat="false" ht="15" hidden="false" customHeight="true" outlineLevel="0" collapsed="false">
      <c r="A3" s="6" t="s">
        <v>29</v>
      </c>
      <c r="B3" s="6" t="s">
        <v>30</v>
      </c>
      <c r="C3" s="6" t="s">
        <v>31</v>
      </c>
      <c r="D3" s="6" t="s">
        <v>32</v>
      </c>
    </row>
    <row r="4" customFormat="false" ht="15" hidden="false" customHeight="true" outlineLevel="0" collapsed="false">
      <c r="A4" s="6" t="s">
        <v>33</v>
      </c>
      <c r="B4" s="6" t="s">
        <v>34</v>
      </c>
      <c r="C4" s="6" t="s">
        <v>31</v>
      </c>
      <c r="D4" s="6" t="s">
        <v>32</v>
      </c>
    </row>
    <row r="5" customFormat="false" ht="15" hidden="false" customHeight="true" outlineLevel="0" collapsed="false">
      <c r="A5" s="6" t="s">
        <v>35</v>
      </c>
      <c r="B5" s="6" t="s">
        <v>36</v>
      </c>
      <c r="C5" s="6" t="s">
        <v>37</v>
      </c>
      <c r="D5" s="6" t="s">
        <v>32</v>
      </c>
    </row>
    <row r="6" customFormat="false" ht="15" hidden="false" customHeight="true" outlineLevel="0" collapsed="false">
      <c r="A6" s="6" t="s">
        <v>38</v>
      </c>
      <c r="B6" s="6" t="s">
        <v>39</v>
      </c>
      <c r="C6" s="6" t="s">
        <v>37</v>
      </c>
      <c r="D6" s="6" t="s">
        <v>40</v>
      </c>
    </row>
    <row r="7" customFormat="false" ht="15" hidden="false" customHeight="true" outlineLevel="0" collapsed="false">
      <c r="A7" s="6" t="s">
        <v>41</v>
      </c>
      <c r="B7" s="6" t="s">
        <v>42</v>
      </c>
      <c r="C7" s="6" t="s">
        <v>37</v>
      </c>
      <c r="D7" s="6" t="s">
        <v>40</v>
      </c>
    </row>
    <row r="8" customFormat="false" ht="15" hidden="false" customHeight="true" outlineLevel="0" collapsed="false">
      <c r="A8" s="6" t="s">
        <v>43</v>
      </c>
      <c r="B8" s="6" t="s">
        <v>44</v>
      </c>
      <c r="C8" s="6" t="s">
        <v>27</v>
      </c>
      <c r="D8" s="6" t="s">
        <v>45</v>
      </c>
    </row>
    <row r="9" customFormat="false" ht="15" hidden="false" customHeight="true" outlineLevel="0" collapsed="false">
      <c r="A9" s="6" t="s">
        <v>46</v>
      </c>
      <c r="B9" s="6" t="s">
        <v>47</v>
      </c>
      <c r="C9" s="6" t="s">
        <v>27</v>
      </c>
      <c r="D9" s="6" t="s">
        <v>48</v>
      </c>
    </row>
    <row r="10" customFormat="false" ht="15" hidden="false" customHeight="true" outlineLevel="0" collapsed="false">
      <c r="A10" s="6" t="s">
        <v>49</v>
      </c>
      <c r="B10" s="6" t="s">
        <v>50</v>
      </c>
      <c r="C10" s="6" t="s">
        <v>27</v>
      </c>
      <c r="D10" s="6" t="s">
        <v>51</v>
      </c>
    </row>
    <row r="11" customFormat="false" ht="15" hidden="false" customHeight="true" outlineLevel="0" collapsed="false">
      <c r="A11" s="6" t="s">
        <v>52</v>
      </c>
      <c r="B11" s="6" t="s">
        <v>53</v>
      </c>
      <c r="C11" s="6" t="s">
        <v>27</v>
      </c>
      <c r="D11" s="6" t="s">
        <v>54</v>
      </c>
    </row>
    <row r="12" customFormat="false" ht="15" hidden="false" customHeight="true" outlineLevel="0" collapsed="false">
      <c r="A12" s="6" t="s">
        <v>55</v>
      </c>
      <c r="B12" s="6" t="s">
        <v>56</v>
      </c>
      <c r="C12" s="6" t="s">
        <v>57</v>
      </c>
      <c r="D12" s="6" t="s">
        <v>58</v>
      </c>
    </row>
    <row r="13" customFormat="false" ht="15" hidden="false" customHeight="true" outlineLevel="0" collapsed="false">
      <c r="A13" s="6" t="s">
        <v>59</v>
      </c>
      <c r="B13" s="6" t="s">
        <v>60</v>
      </c>
      <c r="C13" s="6" t="s">
        <v>31</v>
      </c>
      <c r="D13" s="6" t="s">
        <v>61</v>
      </c>
    </row>
    <row r="14" customFormat="false" ht="15" hidden="false" customHeight="true" outlineLevel="0" collapsed="false">
      <c r="A14" s="6" t="s">
        <v>62</v>
      </c>
      <c r="B14" s="6" t="s">
        <v>63</v>
      </c>
      <c r="C14" s="6" t="s">
        <v>31</v>
      </c>
      <c r="D14" s="6" t="s">
        <v>64</v>
      </c>
    </row>
    <row r="15" customFormat="false" ht="15" hidden="false" customHeight="true" outlineLevel="0" collapsed="false">
      <c r="A15" s="6" t="s">
        <v>65</v>
      </c>
      <c r="B15" s="6" t="s">
        <v>66</v>
      </c>
      <c r="C15" s="6" t="s">
        <v>27</v>
      </c>
      <c r="D15" s="6" t="s">
        <v>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3" min="2" style="1" width="30"/>
    <col collapsed="false" customWidth="true" hidden="false" outlineLevel="0" max="4" min="4" style="1" width="60"/>
    <col collapsed="false" customWidth="true" hidden="false" outlineLevel="0" max="5" min="5" style="1" width="15"/>
    <col collapsed="false" customWidth="true" hidden="false" outlineLevel="0" max="6" min="6" style="1" width="22"/>
    <col collapsed="false" customWidth="true" hidden="false" outlineLevel="0" max="8" min="7" style="1" width="34"/>
    <col collapsed="false" customWidth="true" hidden="false" outlineLevel="0" max="9" min="9" style="1" width="12"/>
    <col collapsed="false" customWidth="true" hidden="false" outlineLevel="0" max="11" min="10" style="1" width="30"/>
    <col collapsed="false" customWidth="true" hidden="false" outlineLevel="0" max="12" min="12" style="1" width="22"/>
    <col collapsed="false" customWidth="true" hidden="false" outlineLevel="0" max="14" min="13" style="1" width="16"/>
    <col collapsed="false" customWidth="true" hidden="false" outlineLevel="0" max="15" min="15" style="1" width="8"/>
    <col collapsed="false" customWidth="true" hidden="false" outlineLevel="0" max="16" min="16" style="1" width="60"/>
  </cols>
  <sheetData>
    <row r="1" customFormat="false" ht="23.25" hidden="false" customHeight="true" outlineLevel="0" collapsed="false">
      <c r="A1" s="5" t="s">
        <v>68</v>
      </c>
      <c r="B1" s="5" t="s">
        <v>69</v>
      </c>
      <c r="C1" s="5" t="s">
        <v>70</v>
      </c>
      <c r="D1" s="5" t="s">
        <v>71</v>
      </c>
      <c r="E1" s="5" t="s">
        <v>72</v>
      </c>
      <c r="F1" s="5" t="s">
        <v>73</v>
      </c>
      <c r="G1" s="5" t="s">
        <v>74</v>
      </c>
      <c r="H1" s="5" t="s">
        <v>75</v>
      </c>
      <c r="I1" s="5" t="s">
        <v>76</v>
      </c>
      <c r="J1" s="5" t="s">
        <v>77</v>
      </c>
      <c r="K1" s="5" t="s">
        <v>78</v>
      </c>
      <c r="L1" s="5" t="s">
        <v>79</v>
      </c>
      <c r="M1" s="5" t="s">
        <v>80</v>
      </c>
      <c r="N1" s="5" t="s">
        <v>81</v>
      </c>
      <c r="O1" s="5" t="s">
        <v>82</v>
      </c>
      <c r="P1" s="5" t="s">
        <v>83</v>
      </c>
      <c r="Q1" s="5" t="s">
        <v>84</v>
      </c>
    </row>
    <row r="2" customFormat="false" ht="34.5" hidden="false" customHeight="true" outlineLevel="0" collapsed="false">
      <c r="A2" s="6" t="s">
        <v>85</v>
      </c>
      <c r="B2" s="6" t="s">
        <v>86</v>
      </c>
      <c r="C2" s="6" t="s">
        <v>87</v>
      </c>
      <c r="D2" s="6" t="s">
        <v>88</v>
      </c>
      <c r="E2" s="6" t="s">
        <v>89</v>
      </c>
      <c r="F2" s="6" t="s">
        <v>90</v>
      </c>
      <c r="G2" s="6" t="s">
        <v>91</v>
      </c>
      <c r="H2" s="6" t="s">
        <v>92</v>
      </c>
      <c r="I2" s="6" t="s">
        <v>93</v>
      </c>
      <c r="J2" s="6" t="s">
        <v>94</v>
      </c>
      <c r="K2" s="6" t="s">
        <v>95</v>
      </c>
      <c r="L2" s="6" t="s">
        <v>96</v>
      </c>
      <c r="M2" s="7"/>
      <c r="N2" s="7"/>
      <c r="O2" s="7"/>
      <c r="P2" s="7" t="s">
        <v>37</v>
      </c>
      <c r="Q2" s="6" t="s">
        <v>97</v>
      </c>
    </row>
    <row r="3" customFormat="false" ht="23.25" hidden="false" customHeight="true" outlineLevel="0" collapsed="false">
      <c r="A3" s="6" t="s">
        <v>98</v>
      </c>
      <c r="B3" s="6" t="s">
        <v>99</v>
      </c>
      <c r="C3" s="6" t="s">
        <v>100</v>
      </c>
      <c r="D3" s="6" t="s">
        <v>101</v>
      </c>
      <c r="E3" s="6" t="s">
        <v>89</v>
      </c>
      <c r="F3" s="6" t="s">
        <v>90</v>
      </c>
      <c r="G3" s="6" t="s">
        <v>91</v>
      </c>
      <c r="H3" s="6" t="s">
        <v>102</v>
      </c>
      <c r="I3" s="6" t="s">
        <v>103</v>
      </c>
      <c r="J3" s="6" t="s">
        <v>94</v>
      </c>
      <c r="K3" s="6" t="s">
        <v>104</v>
      </c>
      <c r="L3" s="6" t="s">
        <v>105</v>
      </c>
      <c r="M3" s="7"/>
      <c r="N3" s="7"/>
      <c r="O3" s="7"/>
      <c r="P3" s="7" t="s">
        <v>37</v>
      </c>
      <c r="Q3" s="6" t="s">
        <v>106</v>
      </c>
    </row>
    <row r="4" customFormat="false" ht="23.25" hidden="false" customHeight="true" outlineLevel="0" collapsed="false">
      <c r="A4" s="6" t="s">
        <v>107</v>
      </c>
      <c r="B4" s="6" t="s">
        <v>108</v>
      </c>
      <c r="C4" s="6" t="s">
        <v>109</v>
      </c>
      <c r="D4" s="6" t="s">
        <v>110</v>
      </c>
      <c r="E4" s="6" t="s">
        <v>111</v>
      </c>
      <c r="F4" s="6" t="s">
        <v>112</v>
      </c>
      <c r="G4" s="6" t="s">
        <v>91</v>
      </c>
      <c r="H4" s="6" t="s">
        <v>25</v>
      </c>
      <c r="I4" s="6" t="s">
        <v>113</v>
      </c>
      <c r="J4" s="6" t="s">
        <v>114</v>
      </c>
      <c r="K4" s="6" t="s">
        <v>115</v>
      </c>
      <c r="L4" s="6" t="s">
        <v>116</v>
      </c>
      <c r="M4" s="7"/>
      <c r="N4" s="7"/>
      <c r="O4" s="7"/>
      <c r="P4" s="7" t="s">
        <v>37</v>
      </c>
      <c r="Q4" s="6" t="s">
        <v>117</v>
      </c>
    </row>
    <row r="5" customFormat="false" ht="23.25" hidden="false" customHeight="true" outlineLevel="0" collapsed="false">
      <c r="A5" s="6" t="s">
        <v>118</v>
      </c>
      <c r="B5" s="6" t="s">
        <v>119</v>
      </c>
      <c r="C5" s="6" t="s">
        <v>120</v>
      </c>
      <c r="D5" s="6" t="s">
        <v>121</v>
      </c>
      <c r="E5" s="6" t="s">
        <v>89</v>
      </c>
      <c r="F5" s="6" t="s">
        <v>90</v>
      </c>
      <c r="G5" s="6" t="s">
        <v>91</v>
      </c>
      <c r="H5" s="6" t="s">
        <v>55</v>
      </c>
      <c r="I5" s="6" t="s">
        <v>122</v>
      </c>
      <c r="J5" s="6" t="s">
        <v>114</v>
      </c>
      <c r="K5" s="6" t="s">
        <v>123</v>
      </c>
      <c r="L5" s="6" t="s">
        <v>124</v>
      </c>
      <c r="M5" s="7"/>
      <c r="N5" s="7"/>
      <c r="O5" s="7"/>
      <c r="P5" s="7" t="s">
        <v>37</v>
      </c>
      <c r="Q5" s="6" t="s">
        <v>125</v>
      </c>
    </row>
    <row r="6" customFormat="false" ht="34.5" hidden="false" customHeight="true" outlineLevel="0" collapsed="false">
      <c r="A6" s="6" t="s">
        <v>126</v>
      </c>
      <c r="B6" s="6" t="s">
        <v>127</v>
      </c>
      <c r="C6" s="6" t="s">
        <v>128</v>
      </c>
      <c r="D6" s="6" t="s">
        <v>129</v>
      </c>
      <c r="E6" s="6" t="s">
        <v>89</v>
      </c>
      <c r="F6" s="6" t="s">
        <v>90</v>
      </c>
      <c r="G6" s="6" t="s">
        <v>91</v>
      </c>
      <c r="H6" s="6" t="s">
        <v>55</v>
      </c>
      <c r="I6" s="6" t="s">
        <v>130</v>
      </c>
      <c r="J6" s="6" t="s">
        <v>114</v>
      </c>
      <c r="K6" s="6" t="s">
        <v>131</v>
      </c>
      <c r="L6" s="6" t="s">
        <v>132</v>
      </c>
      <c r="M6" s="7"/>
      <c r="N6" s="7"/>
      <c r="O6" s="7"/>
      <c r="P6" s="7" t="s">
        <v>37</v>
      </c>
      <c r="Q6" s="6" t="s">
        <v>133</v>
      </c>
    </row>
    <row r="7" customFormat="false" ht="23.25" hidden="false" customHeight="true" outlineLevel="0" collapsed="false">
      <c r="A7" s="6" t="s">
        <v>134</v>
      </c>
      <c r="B7" s="6" t="s">
        <v>135</v>
      </c>
      <c r="C7" s="6" t="s">
        <v>136</v>
      </c>
      <c r="D7" s="6" t="s">
        <v>137</v>
      </c>
      <c r="E7" s="6" t="s">
        <v>89</v>
      </c>
      <c r="F7" s="6" t="s">
        <v>112</v>
      </c>
      <c r="G7" s="6" t="s">
        <v>138</v>
      </c>
      <c r="H7" s="6" t="s">
        <v>139</v>
      </c>
      <c r="I7" s="6" t="s">
        <v>140</v>
      </c>
      <c r="J7" s="6" t="s">
        <v>114</v>
      </c>
      <c r="K7" s="6" t="s">
        <v>131</v>
      </c>
      <c r="L7" s="6" t="s">
        <v>141</v>
      </c>
      <c r="M7" s="7"/>
      <c r="N7" s="7"/>
      <c r="O7" s="7"/>
      <c r="P7" s="7" t="s">
        <v>37</v>
      </c>
      <c r="Q7" s="6" t="s">
        <v>142</v>
      </c>
    </row>
    <row r="8" customFormat="false" ht="34.5" hidden="false" customHeight="true" outlineLevel="0" collapsed="false">
      <c r="A8" s="6" t="s">
        <v>143</v>
      </c>
      <c r="B8" s="6" t="s">
        <v>144</v>
      </c>
      <c r="C8" s="6" t="s">
        <v>145</v>
      </c>
      <c r="D8" s="6" t="s">
        <v>146</v>
      </c>
      <c r="E8" s="6" t="s">
        <v>111</v>
      </c>
      <c r="F8" s="6" t="s">
        <v>112</v>
      </c>
      <c r="G8" s="6" t="s">
        <v>147</v>
      </c>
      <c r="H8" s="6" t="s">
        <v>148</v>
      </c>
      <c r="I8" s="6" t="s">
        <v>130</v>
      </c>
      <c r="J8" s="6" t="s">
        <v>114</v>
      </c>
      <c r="K8" s="6" t="s">
        <v>149</v>
      </c>
      <c r="L8" s="6" t="s">
        <v>150</v>
      </c>
      <c r="M8" s="7"/>
      <c r="N8" s="7"/>
      <c r="O8" s="7"/>
      <c r="P8" s="7" t="s">
        <v>37</v>
      </c>
      <c r="Q8" s="6" t="s">
        <v>151</v>
      </c>
    </row>
    <row r="9" customFormat="false" ht="34.5" hidden="false" customHeight="true" outlineLevel="0" collapsed="false">
      <c r="A9" s="6" t="s">
        <v>152</v>
      </c>
      <c r="B9" s="6" t="s">
        <v>153</v>
      </c>
      <c r="C9" s="6" t="s">
        <v>154</v>
      </c>
      <c r="D9" s="6" t="s">
        <v>155</v>
      </c>
      <c r="E9" s="6" t="s">
        <v>111</v>
      </c>
      <c r="F9" s="6" t="s">
        <v>112</v>
      </c>
      <c r="G9" s="6" t="s">
        <v>156</v>
      </c>
      <c r="H9" s="6" t="s">
        <v>157</v>
      </c>
      <c r="I9" s="6" t="s">
        <v>158</v>
      </c>
      <c r="J9" s="6" t="s">
        <v>114</v>
      </c>
      <c r="K9" s="6" t="s">
        <v>159</v>
      </c>
      <c r="L9" s="6" t="s">
        <v>160</v>
      </c>
      <c r="M9" s="7"/>
      <c r="N9" s="7"/>
      <c r="O9" s="7"/>
      <c r="P9" s="7" t="s">
        <v>37</v>
      </c>
      <c r="Q9" s="6" t="s">
        <v>161</v>
      </c>
    </row>
    <row r="10" customFormat="false" ht="23.25" hidden="false" customHeight="true" outlineLevel="0" collapsed="false">
      <c r="A10" s="6" t="s">
        <v>162</v>
      </c>
      <c r="B10" s="6" t="s">
        <v>163</v>
      </c>
      <c r="C10" s="6" t="s">
        <v>164</v>
      </c>
      <c r="D10" s="6" t="s">
        <v>165</v>
      </c>
      <c r="E10" s="6" t="s">
        <v>166</v>
      </c>
      <c r="F10" s="6" t="s">
        <v>112</v>
      </c>
      <c r="G10" s="6" t="s">
        <v>91</v>
      </c>
      <c r="H10" s="6" t="s">
        <v>167</v>
      </c>
      <c r="I10" s="6" t="s">
        <v>168</v>
      </c>
      <c r="J10" s="6" t="s">
        <v>114</v>
      </c>
      <c r="K10" s="6" t="s">
        <v>169</v>
      </c>
      <c r="L10" s="6" t="s">
        <v>96</v>
      </c>
      <c r="M10" s="7"/>
      <c r="N10" s="7"/>
      <c r="O10" s="7"/>
      <c r="P10" s="7" t="s">
        <v>37</v>
      </c>
      <c r="Q10" s="6" t="s">
        <v>170</v>
      </c>
    </row>
    <row r="11" customFormat="false" ht="34.5" hidden="false" customHeight="true" outlineLevel="0" collapsed="false">
      <c r="A11" s="6" t="s">
        <v>171</v>
      </c>
      <c r="B11" s="6" t="s">
        <v>172</v>
      </c>
      <c r="C11" s="6" t="s">
        <v>173</v>
      </c>
      <c r="D11" s="6" t="s">
        <v>174</v>
      </c>
      <c r="E11" s="6" t="s">
        <v>166</v>
      </c>
      <c r="F11" s="6" t="s">
        <v>112</v>
      </c>
      <c r="G11" s="6" t="s">
        <v>91</v>
      </c>
      <c r="H11" s="6" t="s">
        <v>175</v>
      </c>
      <c r="I11" s="6" t="s">
        <v>176</v>
      </c>
      <c r="J11" s="6" t="s">
        <v>114</v>
      </c>
      <c r="K11" s="6" t="s">
        <v>177</v>
      </c>
      <c r="L11" s="6" t="s">
        <v>178</v>
      </c>
      <c r="M11" s="7"/>
      <c r="N11" s="7"/>
      <c r="O11" s="7"/>
      <c r="P11" s="7" t="s">
        <v>37</v>
      </c>
      <c r="Q11" s="6" t="s">
        <v>179</v>
      </c>
    </row>
    <row r="12" customFormat="false" ht="23.25" hidden="false" customHeight="true" outlineLevel="0" collapsed="false">
      <c r="A12" s="6" t="s">
        <v>180</v>
      </c>
      <c r="B12" s="6" t="s">
        <v>181</v>
      </c>
      <c r="C12" s="6" t="s">
        <v>182</v>
      </c>
      <c r="D12" s="6" t="s">
        <v>183</v>
      </c>
      <c r="E12" s="6" t="s">
        <v>89</v>
      </c>
      <c r="F12" s="6" t="s">
        <v>90</v>
      </c>
      <c r="G12" s="6" t="s">
        <v>91</v>
      </c>
      <c r="H12" s="6" t="s">
        <v>59</v>
      </c>
      <c r="I12" s="6" t="s">
        <v>184</v>
      </c>
      <c r="J12" s="6" t="s">
        <v>114</v>
      </c>
      <c r="K12" s="6" t="s">
        <v>185</v>
      </c>
      <c r="L12" s="6" t="s">
        <v>186</v>
      </c>
      <c r="M12" s="7"/>
      <c r="N12" s="7"/>
      <c r="O12" s="7"/>
      <c r="P12" s="7" t="s">
        <v>37</v>
      </c>
      <c r="Q12" s="6" t="s">
        <v>187</v>
      </c>
    </row>
    <row r="13" customFormat="false" ht="23.25" hidden="false" customHeight="true" outlineLevel="0" collapsed="false">
      <c r="A13" s="6" t="s">
        <v>188</v>
      </c>
      <c r="B13" s="6" t="s">
        <v>189</v>
      </c>
      <c r="C13" s="6" t="s">
        <v>190</v>
      </c>
      <c r="D13" s="6" t="s">
        <v>191</v>
      </c>
      <c r="E13" s="6" t="s">
        <v>89</v>
      </c>
      <c r="F13" s="6" t="s">
        <v>90</v>
      </c>
      <c r="G13" s="6" t="s">
        <v>91</v>
      </c>
      <c r="H13" s="6" t="s">
        <v>59</v>
      </c>
      <c r="I13" s="6" t="s">
        <v>192</v>
      </c>
      <c r="J13" s="6" t="s">
        <v>94</v>
      </c>
      <c r="K13" s="6" t="s">
        <v>193</v>
      </c>
      <c r="L13" s="6" t="s">
        <v>194</v>
      </c>
      <c r="M13" s="7"/>
      <c r="N13" s="7"/>
      <c r="O13" s="7"/>
      <c r="P13" s="7" t="s">
        <v>37</v>
      </c>
      <c r="Q13" s="6" t="s">
        <v>195</v>
      </c>
    </row>
    <row r="14" customFormat="false" ht="23.25" hidden="false" customHeight="true" outlineLevel="0" collapsed="false">
      <c r="A14" s="6" t="s">
        <v>196</v>
      </c>
      <c r="B14" s="6" t="s">
        <v>197</v>
      </c>
      <c r="C14" s="6" t="s">
        <v>198</v>
      </c>
      <c r="D14" s="6" t="s">
        <v>199</v>
      </c>
      <c r="E14" s="6" t="s">
        <v>89</v>
      </c>
      <c r="F14" s="6" t="s">
        <v>90</v>
      </c>
      <c r="G14" s="6" t="s">
        <v>91</v>
      </c>
      <c r="H14" s="6" t="s">
        <v>46</v>
      </c>
      <c r="I14" s="6" t="s">
        <v>192</v>
      </c>
      <c r="J14" s="6" t="s">
        <v>94</v>
      </c>
      <c r="K14" s="6" t="s">
        <v>200</v>
      </c>
      <c r="L14" s="6" t="s">
        <v>96</v>
      </c>
      <c r="M14" s="7"/>
      <c r="N14" s="7"/>
      <c r="O14" s="7"/>
      <c r="P14" s="7" t="s">
        <v>37</v>
      </c>
      <c r="Q14" s="6" t="s">
        <v>201</v>
      </c>
    </row>
    <row r="15" customFormat="false" ht="23.25" hidden="false" customHeight="true" outlineLevel="0" collapsed="false">
      <c r="A15" s="6" t="s">
        <v>202</v>
      </c>
      <c r="B15" s="6" t="s">
        <v>203</v>
      </c>
      <c r="C15" s="6" t="s">
        <v>204</v>
      </c>
      <c r="D15" s="6" t="s">
        <v>205</v>
      </c>
      <c r="E15" s="6" t="s">
        <v>111</v>
      </c>
      <c r="F15" s="6" t="s">
        <v>112</v>
      </c>
      <c r="G15" s="6" t="s">
        <v>206</v>
      </c>
      <c r="H15" s="6" t="s">
        <v>148</v>
      </c>
      <c r="I15" s="6" t="s">
        <v>130</v>
      </c>
      <c r="J15" s="6" t="s">
        <v>114</v>
      </c>
      <c r="K15" s="6" t="s">
        <v>131</v>
      </c>
      <c r="L15" s="6" t="s">
        <v>207</v>
      </c>
      <c r="M15" s="7"/>
      <c r="N15" s="7"/>
      <c r="O15" s="7"/>
      <c r="P15" s="7" t="s">
        <v>37</v>
      </c>
      <c r="Q15" s="6" t="s">
        <v>208</v>
      </c>
    </row>
    <row r="16" customFormat="false" ht="23.25" hidden="false" customHeight="true" outlineLevel="0" collapsed="false">
      <c r="A16" s="6" t="s">
        <v>209</v>
      </c>
      <c r="B16" s="6" t="s">
        <v>210</v>
      </c>
      <c r="C16" s="6" t="s">
        <v>211</v>
      </c>
      <c r="D16" s="6" t="s">
        <v>212</v>
      </c>
      <c r="E16" s="6" t="s">
        <v>213</v>
      </c>
      <c r="F16" s="6" t="s">
        <v>214</v>
      </c>
      <c r="G16" s="6" t="s">
        <v>215</v>
      </c>
      <c r="H16" s="6" t="s">
        <v>216</v>
      </c>
      <c r="I16" s="6" t="s">
        <v>217</v>
      </c>
      <c r="J16" s="6" t="s">
        <v>213</v>
      </c>
      <c r="K16" s="6" t="s">
        <v>218</v>
      </c>
      <c r="L16" s="6" t="s">
        <v>218</v>
      </c>
      <c r="M16" s="7"/>
      <c r="N16" s="7"/>
      <c r="O16" s="7"/>
      <c r="P16" s="7" t="s">
        <v>37</v>
      </c>
      <c r="Q16" s="6" t="s">
        <v>219</v>
      </c>
    </row>
    <row r="17" customFormat="false" ht="23.25" hidden="false" customHeight="true" outlineLevel="0" collapsed="false">
      <c r="A17" s="6" t="s">
        <v>220</v>
      </c>
      <c r="B17" s="6" t="s">
        <v>221</v>
      </c>
      <c r="C17" s="6" t="s">
        <v>222</v>
      </c>
      <c r="D17" s="6" t="s">
        <v>223</v>
      </c>
      <c r="E17" s="6" t="s">
        <v>213</v>
      </c>
      <c r="F17" s="6" t="s">
        <v>214</v>
      </c>
      <c r="G17" s="6" t="s">
        <v>215</v>
      </c>
      <c r="H17" s="6" t="s">
        <v>224</v>
      </c>
      <c r="I17" s="6" t="s">
        <v>225</v>
      </c>
      <c r="J17" s="6" t="s">
        <v>213</v>
      </c>
      <c r="K17" s="6" t="s">
        <v>218</v>
      </c>
      <c r="L17" s="6" t="s">
        <v>218</v>
      </c>
      <c r="M17" s="7"/>
      <c r="N17" s="7"/>
      <c r="O17" s="7"/>
      <c r="P17" s="7" t="s">
        <v>37</v>
      </c>
      <c r="Q17" s="6" t="s">
        <v>226</v>
      </c>
    </row>
    <row r="18" customFormat="false" ht="23.25" hidden="false" customHeight="true" outlineLevel="0" collapsed="false">
      <c r="A18" s="6" t="s">
        <v>227</v>
      </c>
      <c r="B18" s="6" t="s">
        <v>228</v>
      </c>
      <c r="C18" s="6" t="s">
        <v>229</v>
      </c>
      <c r="D18" s="6" t="s">
        <v>230</v>
      </c>
      <c r="E18" s="6" t="s">
        <v>213</v>
      </c>
      <c r="F18" s="6" t="s">
        <v>214</v>
      </c>
      <c r="G18" s="6" t="s">
        <v>215</v>
      </c>
      <c r="H18" s="6" t="s">
        <v>43</v>
      </c>
      <c r="I18" s="6" t="s">
        <v>167</v>
      </c>
      <c r="J18" s="6" t="s">
        <v>213</v>
      </c>
      <c r="K18" s="6" t="s">
        <v>218</v>
      </c>
      <c r="L18" s="6" t="s">
        <v>218</v>
      </c>
      <c r="M18" s="7"/>
      <c r="N18" s="7"/>
      <c r="O18" s="7"/>
      <c r="P18" s="7" t="s">
        <v>37</v>
      </c>
      <c r="Q18" s="6" t="s">
        <v>231</v>
      </c>
    </row>
    <row r="19" customFormat="false" ht="15" hidden="false" customHeight="true" outlineLevel="0" collapsed="false">
      <c r="A19" s="6" t="s">
        <v>232</v>
      </c>
      <c r="B19" s="6" t="s">
        <v>233</v>
      </c>
      <c r="C19" s="6" t="s">
        <v>234</v>
      </c>
      <c r="D19" s="6" t="s">
        <v>235</v>
      </c>
      <c r="E19" s="6" t="s">
        <v>213</v>
      </c>
      <c r="F19" s="6" t="s">
        <v>214</v>
      </c>
      <c r="G19" s="6" t="s">
        <v>215</v>
      </c>
      <c r="H19" s="6" t="s">
        <v>33</v>
      </c>
      <c r="I19" s="6" t="s">
        <v>236</v>
      </c>
      <c r="J19" s="6" t="s">
        <v>213</v>
      </c>
      <c r="K19" s="6" t="s">
        <v>218</v>
      </c>
      <c r="L19" s="6" t="s">
        <v>237</v>
      </c>
      <c r="M19" s="7"/>
      <c r="N19" s="7"/>
      <c r="O19" s="7"/>
      <c r="P19" s="7" t="s">
        <v>37</v>
      </c>
      <c r="Q19" s="6" t="s">
        <v>238</v>
      </c>
    </row>
    <row r="20" customFormat="false" ht="34.5" hidden="false" customHeight="true" outlineLevel="0" collapsed="false">
      <c r="A20" s="6" t="s">
        <v>239</v>
      </c>
      <c r="B20" s="6" t="s">
        <v>240</v>
      </c>
      <c r="C20" s="6" t="s">
        <v>241</v>
      </c>
      <c r="D20" s="6" t="s">
        <v>242</v>
      </c>
      <c r="E20" s="6" t="s">
        <v>213</v>
      </c>
      <c r="F20" s="6" t="s">
        <v>214</v>
      </c>
      <c r="G20" s="6" t="s">
        <v>215</v>
      </c>
      <c r="H20" s="6" t="s">
        <v>33</v>
      </c>
      <c r="I20" s="6" t="s">
        <v>236</v>
      </c>
      <c r="J20" s="6" t="s">
        <v>213</v>
      </c>
      <c r="K20" s="6" t="s">
        <v>218</v>
      </c>
      <c r="L20" s="6" t="s">
        <v>237</v>
      </c>
      <c r="M20" s="7"/>
      <c r="N20" s="7"/>
      <c r="O20" s="7"/>
      <c r="P20" s="7" t="s">
        <v>37</v>
      </c>
      <c r="Q20" s="6" t="s">
        <v>243</v>
      </c>
    </row>
    <row r="21" customFormat="false" ht="34.5" hidden="false" customHeight="true" outlineLevel="0" collapsed="false">
      <c r="A21" s="6" t="s">
        <v>244</v>
      </c>
      <c r="B21" s="6" t="s">
        <v>245</v>
      </c>
      <c r="C21" s="6" t="s">
        <v>246</v>
      </c>
      <c r="D21" s="6" t="s">
        <v>247</v>
      </c>
      <c r="E21" s="6" t="s">
        <v>213</v>
      </c>
      <c r="F21" s="6" t="s">
        <v>214</v>
      </c>
      <c r="G21" s="6" t="s">
        <v>215</v>
      </c>
      <c r="H21" s="6" t="s">
        <v>248</v>
      </c>
      <c r="I21" s="6" t="s">
        <v>192</v>
      </c>
      <c r="J21" s="6" t="s">
        <v>213</v>
      </c>
      <c r="K21" s="6" t="s">
        <v>218</v>
      </c>
      <c r="L21" s="6" t="s">
        <v>218</v>
      </c>
      <c r="M21" s="7"/>
      <c r="N21" s="7"/>
      <c r="O21" s="7"/>
      <c r="P21" s="7" t="s">
        <v>37</v>
      </c>
      <c r="Q21" s="6" t="s">
        <v>249</v>
      </c>
    </row>
    <row r="22" customFormat="false" ht="23.25" hidden="false" customHeight="true" outlineLevel="0" collapsed="false">
      <c r="A22" s="6" t="s">
        <v>250</v>
      </c>
      <c r="B22" s="6" t="s">
        <v>251</v>
      </c>
      <c r="C22" s="6"/>
      <c r="D22" s="6" t="s">
        <v>252</v>
      </c>
      <c r="E22" s="6" t="s">
        <v>253</v>
      </c>
      <c r="F22" s="6" t="s">
        <v>214</v>
      </c>
      <c r="G22" s="6" t="s">
        <v>215</v>
      </c>
      <c r="H22" s="6" t="s">
        <v>254</v>
      </c>
      <c r="I22" s="6" t="s">
        <v>255</v>
      </c>
      <c r="J22" s="6" t="s">
        <v>253</v>
      </c>
      <c r="K22" s="6" t="s">
        <v>218</v>
      </c>
      <c r="L22" s="6" t="s">
        <v>218</v>
      </c>
      <c r="M22" s="7"/>
      <c r="N22" s="7"/>
      <c r="O22" s="7"/>
      <c r="P22" s="7" t="s">
        <v>37</v>
      </c>
      <c r="Q22" s="6" t="s">
        <v>256</v>
      </c>
    </row>
    <row r="23" customFormat="false" ht="15" hidden="false" customHeight="true" outlineLevel="0" collapsed="false">
      <c r="A23" s="6" t="s">
        <v>257</v>
      </c>
      <c r="B23" s="6" t="s">
        <v>258</v>
      </c>
      <c r="C23" s="6" t="s">
        <v>259</v>
      </c>
      <c r="D23" s="6" t="s">
        <v>260</v>
      </c>
      <c r="E23" s="6" t="s">
        <v>213</v>
      </c>
      <c r="F23" s="6" t="s">
        <v>214</v>
      </c>
      <c r="G23" s="6" t="s">
        <v>261</v>
      </c>
      <c r="H23" s="6" t="s">
        <v>262</v>
      </c>
      <c r="I23" s="6" t="s">
        <v>263</v>
      </c>
      <c r="J23" s="6" t="s">
        <v>213</v>
      </c>
      <c r="K23" s="6" t="s">
        <v>218</v>
      </c>
      <c r="L23" s="6" t="s">
        <v>218</v>
      </c>
      <c r="M23" s="7"/>
      <c r="N23" s="7"/>
      <c r="O23" s="7"/>
      <c r="P23" s="7" t="s">
        <v>37</v>
      </c>
      <c r="Q23" s="6" t="s">
        <v>264</v>
      </c>
    </row>
    <row r="24" customFormat="false" ht="15" hidden="false" customHeight="true" outlineLevel="0" collapsed="false">
      <c r="A24" s="6" t="s">
        <v>265</v>
      </c>
      <c r="B24" s="6" t="s">
        <v>266</v>
      </c>
      <c r="C24" s="6" t="s">
        <v>267</v>
      </c>
      <c r="D24" s="6" t="s">
        <v>268</v>
      </c>
      <c r="E24" s="6" t="s">
        <v>213</v>
      </c>
      <c r="F24" s="6" t="s">
        <v>214</v>
      </c>
      <c r="G24" s="6" t="s">
        <v>261</v>
      </c>
      <c r="H24" s="6" t="s">
        <v>43</v>
      </c>
      <c r="I24" s="6" t="s">
        <v>192</v>
      </c>
      <c r="J24" s="6" t="s">
        <v>213</v>
      </c>
      <c r="K24" s="6" t="s">
        <v>218</v>
      </c>
      <c r="L24" s="6" t="s">
        <v>218</v>
      </c>
      <c r="M24" s="7"/>
      <c r="N24" s="7"/>
      <c r="O24" s="7"/>
      <c r="P24" s="7" t="s">
        <v>37</v>
      </c>
      <c r="Q24" s="6" t="s">
        <v>264</v>
      </c>
    </row>
    <row r="25" customFormat="false" ht="23.25" hidden="false" customHeight="true" outlineLevel="0" collapsed="false">
      <c r="A25" s="6" t="s">
        <v>269</v>
      </c>
      <c r="B25" s="6" t="s">
        <v>270</v>
      </c>
      <c r="C25" s="6" t="s">
        <v>271</v>
      </c>
      <c r="D25" s="6" t="s">
        <v>272</v>
      </c>
      <c r="E25" s="6" t="s">
        <v>213</v>
      </c>
      <c r="F25" s="6" t="s">
        <v>214</v>
      </c>
      <c r="G25" s="6" t="s">
        <v>261</v>
      </c>
      <c r="H25" s="6" t="s">
        <v>33</v>
      </c>
      <c r="I25" s="6" t="s">
        <v>192</v>
      </c>
      <c r="J25" s="6" t="s">
        <v>213</v>
      </c>
      <c r="K25" s="6" t="s">
        <v>218</v>
      </c>
      <c r="L25" s="6" t="s">
        <v>218</v>
      </c>
      <c r="M25" s="7"/>
      <c r="N25" s="7"/>
      <c r="O25" s="7"/>
      <c r="P25" s="7" t="s">
        <v>37</v>
      </c>
      <c r="Q25" s="6" t="s">
        <v>264</v>
      </c>
    </row>
    <row r="26" customFormat="false" ht="15" hidden="false" customHeight="true" outlineLevel="0" collapsed="false">
      <c r="A26" s="6" t="s">
        <v>273</v>
      </c>
      <c r="B26" s="6" t="s">
        <v>274</v>
      </c>
      <c r="C26" s="6" t="s">
        <v>275</v>
      </c>
      <c r="D26" s="6" t="s">
        <v>276</v>
      </c>
      <c r="E26" s="6" t="s">
        <v>213</v>
      </c>
      <c r="F26" s="6" t="s">
        <v>214</v>
      </c>
      <c r="G26" s="6" t="s">
        <v>277</v>
      </c>
      <c r="H26" s="6" t="s">
        <v>216</v>
      </c>
      <c r="I26" s="6" t="s">
        <v>263</v>
      </c>
      <c r="J26" s="6" t="s">
        <v>213</v>
      </c>
      <c r="K26" s="6" t="s">
        <v>218</v>
      </c>
      <c r="L26" s="6" t="s">
        <v>218</v>
      </c>
      <c r="M26" s="7"/>
      <c r="N26" s="7"/>
      <c r="O26" s="7"/>
      <c r="P26" s="7" t="s">
        <v>37</v>
      </c>
      <c r="Q26" s="6" t="s">
        <v>264</v>
      </c>
    </row>
    <row r="27" customFormat="false" ht="15" hidden="false" customHeight="true" outlineLevel="0" collapsed="false">
      <c r="A27" s="6" t="s">
        <v>278</v>
      </c>
      <c r="B27" s="6" t="s">
        <v>279</v>
      </c>
      <c r="C27" s="6" t="s">
        <v>280</v>
      </c>
      <c r="D27" s="6" t="s">
        <v>281</v>
      </c>
      <c r="E27" s="6" t="s">
        <v>213</v>
      </c>
      <c r="F27" s="6" t="s">
        <v>214</v>
      </c>
      <c r="G27" s="6" t="s">
        <v>277</v>
      </c>
      <c r="H27" s="6" t="s">
        <v>43</v>
      </c>
      <c r="I27" s="6" t="s">
        <v>192</v>
      </c>
      <c r="J27" s="6" t="s">
        <v>213</v>
      </c>
      <c r="K27" s="6" t="s">
        <v>218</v>
      </c>
      <c r="L27" s="6" t="s">
        <v>218</v>
      </c>
      <c r="M27" s="7"/>
      <c r="N27" s="7"/>
      <c r="O27" s="7"/>
      <c r="P27" s="7" t="s">
        <v>37</v>
      </c>
      <c r="Q27" s="6" t="s">
        <v>264</v>
      </c>
    </row>
    <row r="28" customFormat="false" ht="23.25" hidden="false" customHeight="true" outlineLevel="0" collapsed="false">
      <c r="A28" s="6" t="s">
        <v>282</v>
      </c>
      <c r="B28" s="6" t="s">
        <v>283</v>
      </c>
      <c r="C28" s="6" t="s">
        <v>284</v>
      </c>
      <c r="D28" s="6" t="s">
        <v>285</v>
      </c>
      <c r="E28" s="6" t="s">
        <v>213</v>
      </c>
      <c r="F28" s="6" t="s">
        <v>214</v>
      </c>
      <c r="G28" s="6" t="s">
        <v>277</v>
      </c>
      <c r="H28" s="6" t="s">
        <v>33</v>
      </c>
      <c r="I28" s="6" t="s">
        <v>192</v>
      </c>
      <c r="J28" s="6" t="s">
        <v>213</v>
      </c>
      <c r="K28" s="6" t="s">
        <v>218</v>
      </c>
      <c r="L28" s="6" t="s">
        <v>218</v>
      </c>
      <c r="M28" s="7"/>
      <c r="N28" s="7"/>
      <c r="O28" s="7"/>
      <c r="P28" s="7" t="s">
        <v>37</v>
      </c>
      <c r="Q28" s="6" t="s">
        <v>264</v>
      </c>
    </row>
    <row r="29" customFormat="false" ht="15" hidden="false" customHeight="true" outlineLevel="0" collapsed="false">
      <c r="A29" s="6" t="s">
        <v>286</v>
      </c>
      <c r="B29" s="6" t="s">
        <v>287</v>
      </c>
      <c r="C29" s="6" t="s">
        <v>288</v>
      </c>
      <c r="D29" s="6" t="s">
        <v>289</v>
      </c>
      <c r="E29" s="6" t="s">
        <v>213</v>
      </c>
      <c r="F29" s="6" t="s">
        <v>214</v>
      </c>
      <c r="G29" s="6" t="s">
        <v>290</v>
      </c>
      <c r="H29" s="6" t="s">
        <v>216</v>
      </c>
      <c r="I29" s="6" t="s">
        <v>263</v>
      </c>
      <c r="J29" s="6" t="s">
        <v>213</v>
      </c>
      <c r="K29" s="6" t="s">
        <v>218</v>
      </c>
      <c r="L29" s="6" t="s">
        <v>218</v>
      </c>
      <c r="M29" s="7"/>
      <c r="N29" s="7"/>
      <c r="O29" s="7"/>
      <c r="P29" s="7" t="s">
        <v>37</v>
      </c>
      <c r="Q29" s="6" t="s">
        <v>264</v>
      </c>
    </row>
    <row r="30" customFormat="false" ht="23.25" hidden="false" customHeight="true" outlineLevel="0" collapsed="false">
      <c r="A30" s="6" t="s">
        <v>291</v>
      </c>
      <c r="B30" s="6" t="s">
        <v>292</v>
      </c>
      <c r="C30" s="6" t="s">
        <v>293</v>
      </c>
      <c r="D30" s="6" t="s">
        <v>294</v>
      </c>
      <c r="E30" s="6" t="s">
        <v>213</v>
      </c>
      <c r="F30" s="6" t="s">
        <v>214</v>
      </c>
      <c r="G30" s="6" t="s">
        <v>290</v>
      </c>
      <c r="H30" s="6" t="s">
        <v>43</v>
      </c>
      <c r="I30" s="6" t="s">
        <v>192</v>
      </c>
      <c r="J30" s="6" t="s">
        <v>213</v>
      </c>
      <c r="K30" s="6" t="s">
        <v>218</v>
      </c>
      <c r="L30" s="6" t="s">
        <v>218</v>
      </c>
      <c r="M30" s="7"/>
      <c r="N30" s="7"/>
      <c r="O30" s="7"/>
      <c r="P30" s="7" t="s">
        <v>37</v>
      </c>
      <c r="Q30" s="6" t="s">
        <v>264</v>
      </c>
    </row>
    <row r="31" customFormat="false" ht="15" hidden="false" customHeight="true" outlineLevel="0" collapsed="false">
      <c r="A31" s="6" t="s">
        <v>295</v>
      </c>
      <c r="B31" s="6" t="s">
        <v>296</v>
      </c>
      <c r="C31" s="6" t="s">
        <v>297</v>
      </c>
      <c r="D31" s="6" t="s">
        <v>298</v>
      </c>
      <c r="E31" s="6" t="s">
        <v>213</v>
      </c>
      <c r="F31" s="6" t="s">
        <v>214</v>
      </c>
      <c r="G31" s="6" t="s">
        <v>299</v>
      </c>
      <c r="H31" s="6" t="s">
        <v>216</v>
      </c>
      <c r="I31" s="6" t="s">
        <v>263</v>
      </c>
      <c r="J31" s="6" t="s">
        <v>213</v>
      </c>
      <c r="K31" s="6" t="s">
        <v>218</v>
      </c>
      <c r="L31" s="6" t="s">
        <v>218</v>
      </c>
      <c r="M31" s="7"/>
      <c r="N31" s="7"/>
      <c r="O31" s="7"/>
      <c r="P31" s="7" t="s">
        <v>37</v>
      </c>
      <c r="Q31" s="6" t="s">
        <v>264</v>
      </c>
    </row>
    <row r="32" customFormat="false" ht="23.25" hidden="false" customHeight="true" outlineLevel="0" collapsed="false">
      <c r="A32" s="6" t="s">
        <v>300</v>
      </c>
      <c r="B32" s="6" t="s">
        <v>301</v>
      </c>
      <c r="C32" s="6" t="s">
        <v>302</v>
      </c>
      <c r="D32" s="6" t="s">
        <v>303</v>
      </c>
      <c r="E32" s="6" t="s">
        <v>213</v>
      </c>
      <c r="F32" s="6" t="s">
        <v>214</v>
      </c>
      <c r="G32" s="6" t="s">
        <v>304</v>
      </c>
      <c r="H32" s="6" t="s">
        <v>224</v>
      </c>
      <c r="I32" s="6" t="s">
        <v>225</v>
      </c>
      <c r="J32" s="6" t="s">
        <v>213</v>
      </c>
      <c r="K32" s="6" t="s">
        <v>218</v>
      </c>
      <c r="L32" s="6" t="s">
        <v>218</v>
      </c>
      <c r="M32" s="7"/>
      <c r="N32" s="7"/>
      <c r="O32" s="7"/>
      <c r="P32" s="7" t="s">
        <v>37</v>
      </c>
      <c r="Q32" s="6" t="s">
        <v>264</v>
      </c>
    </row>
    <row r="33" customFormat="false" ht="23.25" hidden="false" customHeight="true" outlineLevel="0" collapsed="false">
      <c r="A33" s="6" t="s">
        <v>305</v>
      </c>
      <c r="B33" s="6" t="s">
        <v>306</v>
      </c>
      <c r="C33" s="6" t="s">
        <v>307</v>
      </c>
      <c r="D33" s="6" t="s">
        <v>308</v>
      </c>
      <c r="E33" s="6" t="s">
        <v>213</v>
      </c>
      <c r="F33" s="6" t="s">
        <v>309</v>
      </c>
      <c r="G33" s="6" t="s">
        <v>304</v>
      </c>
      <c r="H33" s="6" t="s">
        <v>33</v>
      </c>
      <c r="I33" s="6" t="s">
        <v>192</v>
      </c>
      <c r="J33" s="6" t="s">
        <v>94</v>
      </c>
      <c r="K33" s="6" t="s">
        <v>218</v>
      </c>
      <c r="L33" s="6" t="s">
        <v>310</v>
      </c>
      <c r="M33" s="7"/>
      <c r="N33" s="7"/>
      <c r="O33" s="7"/>
      <c r="P33" s="7" t="s">
        <v>37</v>
      </c>
      <c r="Q33" s="6" t="s">
        <v>311</v>
      </c>
    </row>
    <row r="34" customFormat="false" ht="15" hidden="false" customHeight="true" outlineLevel="0" collapsed="false">
      <c r="A34" s="6" t="s">
        <v>312</v>
      </c>
      <c r="B34" s="6" t="s">
        <v>313</v>
      </c>
      <c r="C34" s="6" t="s">
        <v>314</v>
      </c>
      <c r="D34" s="6" t="s">
        <v>315</v>
      </c>
      <c r="E34" s="6" t="s">
        <v>213</v>
      </c>
      <c r="F34" s="6" t="s">
        <v>214</v>
      </c>
      <c r="G34" s="6" t="s">
        <v>316</v>
      </c>
      <c r="H34" s="6" t="s">
        <v>317</v>
      </c>
      <c r="I34" s="6" t="s">
        <v>263</v>
      </c>
      <c r="J34" s="6" t="s">
        <v>213</v>
      </c>
      <c r="K34" s="6" t="s">
        <v>218</v>
      </c>
      <c r="L34" s="6" t="s">
        <v>218</v>
      </c>
      <c r="M34" s="7"/>
      <c r="N34" s="7"/>
      <c r="O34" s="7"/>
      <c r="P34" s="7" t="s">
        <v>37</v>
      </c>
      <c r="Q34" s="6" t="s">
        <v>318</v>
      </c>
    </row>
    <row r="35" customFormat="false" ht="46.25" hidden="false" customHeight="false" outlineLevel="0" collapsed="false">
      <c r="A35" s="6" t="s">
        <v>319</v>
      </c>
      <c r="B35" s="6" t="s">
        <v>320</v>
      </c>
      <c r="C35" s="6" t="s">
        <v>321</v>
      </c>
      <c r="D35" s="6" t="s">
        <v>322</v>
      </c>
      <c r="E35" s="6" t="s">
        <v>213</v>
      </c>
      <c r="F35" s="6" t="s">
        <v>214</v>
      </c>
      <c r="G35" s="6" t="s">
        <v>323</v>
      </c>
      <c r="H35" s="6" t="s">
        <v>317</v>
      </c>
      <c r="I35" s="6" t="s">
        <v>263</v>
      </c>
      <c r="J35" s="6" t="s">
        <v>213</v>
      </c>
      <c r="K35" s="6" t="s">
        <v>218</v>
      </c>
      <c r="L35" s="6" t="s">
        <v>218</v>
      </c>
      <c r="M35" s="7"/>
      <c r="N35" s="7"/>
      <c r="O35" s="7"/>
      <c r="P35" s="7" t="s">
        <v>37</v>
      </c>
      <c r="Q35" s="6" t="s">
        <v>264</v>
      </c>
    </row>
  </sheetData>
  <autoFilter ref="A1:Q3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22"/>
    <col collapsed="false" customWidth="true" hidden="false" outlineLevel="0" max="3" min="3" style="1" width="28"/>
    <col collapsed="false" customWidth="true" hidden="false" outlineLevel="0" max="4" min="4" style="1" width="12"/>
    <col collapsed="false" customWidth="true" hidden="false" outlineLevel="0" max="5" min="5" style="1" width="26"/>
  </cols>
  <sheetData>
    <row r="1" customFormat="false" ht="23.25" hidden="false" customHeight="true" outlineLevel="0" collapsed="false">
      <c r="A1" s="5" t="s">
        <v>21</v>
      </c>
      <c r="B1" s="5" t="s">
        <v>324</v>
      </c>
      <c r="C1" s="5" t="s">
        <v>325</v>
      </c>
      <c r="D1" s="5" t="s">
        <v>326</v>
      </c>
      <c r="E1" s="5" t="s">
        <v>327</v>
      </c>
    </row>
    <row r="2" customFormat="false" ht="15" hidden="false" customHeight="true" outlineLevel="0" collapsed="false">
      <c r="A2" s="6" t="s">
        <v>25</v>
      </c>
      <c r="B2" s="6" t="str">
        <f aca="false">INDEX(Needs!$C$2:$C$15,MATCH(A2,Needs!$A$2:$A$15,0))</f>
        <v>yes</v>
      </c>
      <c r="C2" s="6" t="n">
        <f aca="false">SUMPRODUCT(--ISNUMBER(SEARCH(A2,Sources!$H$2:$H$35)),--(ISNUMBER(SEARCH("kyoto",Sources!$G$2:$G$35))+ISNUMBER(SEARCH("global",Sources!$G$2:$G$35))&gt;0),--(Sources!$P$2:$P$35="yes"))</f>
        <v>0</v>
      </c>
      <c r="D2" s="6" t="str">
        <f aca="false">IF(AND(LEFT(B2,3)="yes",C2=0),"GAP",IF(C2=0,"uncovered","ok"))</f>
        <v>GAP</v>
      </c>
      <c r="E2" s="6" t="n">
        <f aca="false">SUMPRODUCT(--ISNUMBER(SEARCH(A2,Sources!$H$2:$H$35)),--(ISNUMBER(SEARCH("kyoto",Sources!$G$2:$G$35))+ISNUMBER(SEARCH("global",Sources!$G$2:$G$35))&gt;0))</f>
        <v>2</v>
      </c>
    </row>
    <row r="3" customFormat="false" ht="15" hidden="false" customHeight="true" outlineLevel="0" collapsed="false">
      <c r="A3" s="6" t="s">
        <v>29</v>
      </c>
      <c r="B3" s="6" t="str">
        <f aca="false">INDEX(Needs!$C$2:$C$15,MATCH(A3,Needs!$A$2:$A$15,0))</f>
        <v>recommended</v>
      </c>
      <c r="C3" s="6" t="n">
        <f aca="false">SUMPRODUCT(--ISNUMBER(SEARCH(A3,Sources!$H$2:$H$35)),--(ISNUMBER(SEARCH("kyoto",Sources!$G$2:$G$35))+ISNUMBER(SEARCH("global",Sources!$G$2:$G$35))&gt;0),--(Sources!$P$2:$P$35="yes"))</f>
        <v>0</v>
      </c>
      <c r="D3" s="6" t="str">
        <f aca="false">IF(AND(LEFT(B3,3)="yes",C3=0),"GAP",IF(C3=0,"uncovered","ok"))</f>
        <v>uncovered</v>
      </c>
      <c r="E3" s="6" t="n">
        <f aca="false">SUMPRODUCT(--ISNUMBER(SEARCH(A3,Sources!$H$2:$H$35)),--(ISNUMBER(SEARCH("kyoto",Sources!$G$2:$G$35))+ISNUMBER(SEARCH("global",Sources!$G$2:$G$35))&gt;0))</f>
        <v>5</v>
      </c>
    </row>
    <row r="4" customFormat="false" ht="15" hidden="false" customHeight="true" outlineLevel="0" collapsed="false">
      <c r="A4" s="6" t="s">
        <v>33</v>
      </c>
      <c r="B4" s="6" t="str">
        <f aca="false">INDEX(Needs!$C$2:$C$15,MATCH(A4,Needs!$A$2:$A$15,0))</f>
        <v>recommended</v>
      </c>
      <c r="C4" s="6" t="n">
        <f aca="false">SUMPRODUCT(--ISNUMBER(SEARCH(A4,Sources!$H$2:$H$35)),--(ISNUMBER(SEARCH("kyoto",Sources!$G$2:$G$35))+ISNUMBER(SEARCH("global",Sources!$G$2:$G$35))&gt;0),--(Sources!$P$2:$P$35="yes"))</f>
        <v>0</v>
      </c>
      <c r="D4" s="6" t="str">
        <f aca="false">IF(AND(LEFT(B4,3)="yes",C4=0),"GAP",IF(C4=0,"uncovered","ok"))</f>
        <v>uncovered</v>
      </c>
      <c r="E4" s="6" t="n">
        <f aca="false">SUMPRODUCT(--ISNUMBER(SEARCH(A4,Sources!$H$2:$H$35)),--(ISNUMBER(SEARCH("kyoto",Sources!$G$2:$G$35))+ISNUMBER(SEARCH("global",Sources!$G$2:$G$35))&gt;0))</f>
        <v>4</v>
      </c>
    </row>
    <row r="5" customFormat="false" ht="15" hidden="false" customHeight="true" outlineLevel="0" collapsed="false">
      <c r="A5" s="6" t="s">
        <v>35</v>
      </c>
      <c r="B5" s="6" t="str">
        <f aca="false">INDEX(Needs!$C$2:$C$15,MATCH(A5,Needs!$A$2:$A$15,0))</f>
        <v>no</v>
      </c>
      <c r="C5" s="6" t="n">
        <f aca="false">SUMPRODUCT(--ISNUMBER(SEARCH(A5,Sources!$H$2:$H$35)),--(ISNUMBER(SEARCH("kyoto",Sources!$G$2:$G$35))+ISNUMBER(SEARCH("global",Sources!$G$2:$G$35))&gt;0),--(Sources!$P$2:$P$35="yes"))</f>
        <v>0</v>
      </c>
      <c r="D5" s="6" t="str">
        <f aca="false">IF(AND(LEFT(B5,3)="yes",C5=0),"GAP",IF(C5=0,"uncovered","ok"))</f>
        <v>uncovered</v>
      </c>
      <c r="E5" s="6" t="n">
        <f aca="false">SUMPRODUCT(--ISNUMBER(SEARCH(A5,Sources!$H$2:$H$35)),--(ISNUMBER(SEARCH("kyoto",Sources!$G$2:$G$35))+ISNUMBER(SEARCH("global",Sources!$G$2:$G$35))&gt;0))</f>
        <v>1</v>
      </c>
    </row>
    <row r="6" customFormat="false" ht="15" hidden="false" customHeight="true" outlineLevel="0" collapsed="false">
      <c r="A6" s="6" t="s">
        <v>38</v>
      </c>
      <c r="B6" s="6" t="str">
        <f aca="false">INDEX(Needs!$C$2:$C$15,MATCH(A6,Needs!$A$2:$A$15,0))</f>
        <v>no</v>
      </c>
      <c r="C6" s="6" t="n">
        <f aca="false">SUMPRODUCT(--ISNUMBER(SEARCH(A6,Sources!$H$2:$H$35)),--(ISNUMBER(SEARCH("kyoto",Sources!$G$2:$G$35))+ISNUMBER(SEARCH("global",Sources!$G$2:$G$35))&gt;0),--(Sources!$P$2:$P$35="yes"))</f>
        <v>0</v>
      </c>
      <c r="D6" s="6" t="str">
        <f aca="false">IF(AND(LEFT(B6,3)="yes",C6=0),"GAP",IF(C6=0,"uncovered","ok"))</f>
        <v>uncovered</v>
      </c>
      <c r="E6" s="6" t="n">
        <f aca="false">SUMPRODUCT(--ISNUMBER(SEARCH(A6,Sources!$H$2:$H$35)),--(ISNUMBER(SEARCH("kyoto",Sources!$G$2:$G$35))+ISNUMBER(SEARCH("global",Sources!$G$2:$G$35))&gt;0))</f>
        <v>1</v>
      </c>
    </row>
    <row r="7" customFormat="false" ht="15" hidden="false" customHeight="true" outlineLevel="0" collapsed="false">
      <c r="A7" s="6" t="s">
        <v>41</v>
      </c>
      <c r="B7" s="6" t="str">
        <f aca="false">INDEX(Needs!$C$2:$C$15,MATCH(A7,Needs!$A$2:$A$15,0))</f>
        <v>no</v>
      </c>
      <c r="C7" s="6" t="n">
        <f aca="false">SUMPRODUCT(--ISNUMBER(SEARCH(A7,Sources!$H$2:$H$35)),--(ISNUMBER(SEARCH("kyoto",Sources!$G$2:$G$35))+ISNUMBER(SEARCH("global",Sources!$G$2:$G$35))&gt;0),--(Sources!$P$2:$P$35="yes"))</f>
        <v>0</v>
      </c>
      <c r="D7" s="6" t="str">
        <f aca="false">IF(AND(LEFT(B7,3)="yes",C7=0),"GAP",IF(C7=0,"uncovered","ok"))</f>
        <v>uncovered</v>
      </c>
      <c r="E7" s="6" t="n">
        <f aca="false">SUMPRODUCT(--ISNUMBER(SEARCH(A7,Sources!$H$2:$H$35)),--(ISNUMBER(SEARCH("kyoto",Sources!$G$2:$G$35))+ISNUMBER(SEARCH("global",Sources!$G$2:$G$35))&gt;0))</f>
        <v>0</v>
      </c>
    </row>
    <row r="8" customFormat="false" ht="15" hidden="false" customHeight="true" outlineLevel="0" collapsed="false">
      <c r="A8" s="6" t="s">
        <v>43</v>
      </c>
      <c r="B8" s="6" t="str">
        <f aca="false">INDEX(Needs!$C$2:$C$15,MATCH(A8,Needs!$A$2:$A$15,0))</f>
        <v>yes</v>
      </c>
      <c r="C8" s="6" t="n">
        <f aca="false">SUMPRODUCT(--ISNUMBER(SEARCH(A8,Sources!$H$2:$H$35)),--(ISNUMBER(SEARCH("kyoto",Sources!$G$2:$G$35))+ISNUMBER(SEARCH("global",Sources!$G$2:$G$35))&gt;0),--(Sources!$P$2:$P$35="yes"))</f>
        <v>0</v>
      </c>
      <c r="D8" s="6" t="str">
        <f aca="false">IF(AND(LEFT(B8,3)="yes",C8=0),"GAP",IF(C8=0,"uncovered","ok"))</f>
        <v>GAP</v>
      </c>
      <c r="E8" s="6" t="n">
        <f aca="false">SUMPRODUCT(--ISNUMBER(SEARCH(A8,Sources!$H$2:$H$35)),--(ISNUMBER(SEARCH("kyoto",Sources!$G$2:$G$35))+ISNUMBER(SEARCH("global",Sources!$G$2:$G$35))&gt;0))</f>
        <v>3</v>
      </c>
    </row>
    <row r="9" customFormat="false" ht="15" hidden="false" customHeight="true" outlineLevel="0" collapsed="false">
      <c r="A9" s="6" t="s">
        <v>46</v>
      </c>
      <c r="B9" s="6" t="str">
        <f aca="false">INDEX(Needs!$C$2:$C$15,MATCH(A9,Needs!$A$2:$A$15,0))</f>
        <v>yes</v>
      </c>
      <c r="C9" s="6" t="n">
        <f aca="false">SUMPRODUCT(--ISNUMBER(SEARCH(A9,Sources!$H$2:$H$35)),--(ISNUMBER(SEARCH("kyoto",Sources!$G$2:$G$35))+ISNUMBER(SEARCH("global",Sources!$G$2:$G$35))&gt;0),--(Sources!$P$2:$P$35="yes"))</f>
        <v>0</v>
      </c>
      <c r="D9" s="6" t="str">
        <f aca="false">IF(AND(LEFT(B9,3)="yes",C9=0),"GAP",IF(C9=0,"uncovered","ok"))</f>
        <v>GAP</v>
      </c>
      <c r="E9" s="6" t="n">
        <f aca="false">SUMPRODUCT(--ISNUMBER(SEARCH(A9,Sources!$H$2:$H$35)),--(ISNUMBER(SEARCH("kyoto",Sources!$G$2:$G$35))+ISNUMBER(SEARCH("global",Sources!$G$2:$G$35))&gt;0))</f>
        <v>5</v>
      </c>
    </row>
    <row r="10" customFormat="false" ht="15" hidden="false" customHeight="true" outlineLevel="0" collapsed="false">
      <c r="A10" s="6" t="s">
        <v>49</v>
      </c>
      <c r="B10" s="6" t="str">
        <f aca="false">INDEX(Needs!$C$2:$C$15,MATCH(A10,Needs!$A$2:$A$15,0))</f>
        <v>yes</v>
      </c>
      <c r="C10" s="6" t="n">
        <f aca="false">SUMPRODUCT(--ISNUMBER(SEARCH(A10,Sources!$H$2:$H$35)),--(ISNUMBER(SEARCH("kyoto",Sources!$G$2:$G$35))+ISNUMBER(SEARCH("global",Sources!$G$2:$G$35))&gt;0),--(Sources!$P$2:$P$35="yes"))</f>
        <v>0</v>
      </c>
      <c r="D10" s="6" t="str">
        <f aca="false">IF(AND(LEFT(B10,3)="yes",C10=0),"GAP",IF(C10=0,"uncovered","ok"))</f>
        <v>GAP</v>
      </c>
      <c r="E10" s="6" t="n">
        <f aca="false">SUMPRODUCT(--ISNUMBER(SEARCH(A10,Sources!$H$2:$H$35)),--(ISNUMBER(SEARCH("kyoto",Sources!$G$2:$G$35))+ISNUMBER(SEARCH("global",Sources!$G$2:$G$35))&gt;0))</f>
        <v>2</v>
      </c>
    </row>
    <row r="11" customFormat="false" ht="15" hidden="false" customHeight="true" outlineLevel="0" collapsed="false">
      <c r="A11" s="6" t="s">
        <v>52</v>
      </c>
      <c r="B11" s="6" t="str">
        <f aca="false">INDEX(Needs!$C$2:$C$15,MATCH(A11,Needs!$A$2:$A$15,0))</f>
        <v>yes</v>
      </c>
      <c r="C11" s="6" t="n">
        <f aca="false">SUMPRODUCT(--ISNUMBER(SEARCH(A11,Sources!$H$2:$H$35)),--(ISNUMBER(SEARCH("kyoto",Sources!$G$2:$G$35))+ISNUMBER(SEARCH("global",Sources!$G$2:$G$35))&gt;0),--(Sources!$P$2:$P$35="yes"))</f>
        <v>0</v>
      </c>
      <c r="D11" s="6" t="str">
        <f aca="false">IF(AND(LEFT(B11,3)="yes",C11=0),"GAP",IF(C11=0,"uncovered","ok"))</f>
        <v>GAP</v>
      </c>
      <c r="E11" s="6" t="n">
        <f aca="false">SUMPRODUCT(--ISNUMBER(SEARCH(A11,Sources!$H$2:$H$35)),--(ISNUMBER(SEARCH("kyoto",Sources!$G$2:$G$35))+ISNUMBER(SEARCH("global",Sources!$G$2:$G$35))&gt;0))</f>
        <v>2</v>
      </c>
    </row>
    <row r="12" customFormat="false" ht="15" hidden="false" customHeight="true" outlineLevel="0" collapsed="false">
      <c r="A12" s="6" t="s">
        <v>55</v>
      </c>
      <c r="B12" s="6" t="str">
        <f aca="false">INDEX(Needs!$C$2:$C$15,MATCH(A12,Needs!$A$2:$A$15,0))</f>
        <v>yes (platform listings first)</v>
      </c>
      <c r="C12" s="6" t="n">
        <f aca="false">SUMPRODUCT(--ISNUMBER(SEARCH(A12,Sources!$H$2:$H$35)),--(ISNUMBER(SEARCH("kyoto",Sources!$G$2:$G$35))+ISNUMBER(SEARCH("global",Sources!$G$2:$G$35))&gt;0),--(Sources!$P$2:$P$35="yes"))</f>
        <v>0</v>
      </c>
      <c r="D12" s="6" t="str">
        <f aca="false">IF(AND(LEFT(B12,3)="yes",C12=0),"GAP",IF(C12=0,"uncovered","ok"))</f>
        <v>GAP</v>
      </c>
      <c r="E12" s="6" t="n">
        <f aca="false">SUMPRODUCT(--ISNUMBER(SEARCH(A12,Sources!$H$2:$H$35)),--(ISNUMBER(SEARCH("kyoto",Sources!$G$2:$G$35))+ISNUMBER(SEARCH("global",Sources!$G$2:$G$35))&gt;0))</f>
        <v>5</v>
      </c>
    </row>
    <row r="13" customFormat="false" ht="15" hidden="false" customHeight="true" outlineLevel="0" collapsed="false">
      <c r="A13" s="6" t="s">
        <v>59</v>
      </c>
      <c r="B13" s="6" t="str">
        <f aca="false">INDEX(Needs!$C$2:$C$15,MATCH(A13,Needs!$A$2:$A$15,0))</f>
        <v>recommended</v>
      </c>
      <c r="C13" s="6" t="n">
        <f aca="false">SUMPRODUCT(--ISNUMBER(SEARCH(A13,Sources!$H$2:$H$35)),--(ISNUMBER(SEARCH("kyoto",Sources!$G$2:$G$35))+ISNUMBER(SEARCH("global",Sources!$G$2:$G$35))&gt;0),--(Sources!$P$2:$P$35="yes"))</f>
        <v>0</v>
      </c>
      <c r="D13" s="6" t="str">
        <f aca="false">IF(AND(LEFT(B13,3)="yes",C13=0),"GAP",IF(C13=0,"uncovered","ok"))</f>
        <v>uncovered</v>
      </c>
      <c r="E13" s="6" t="n">
        <f aca="false">SUMPRODUCT(--ISNUMBER(SEARCH(A13,Sources!$H$2:$H$35)),--(ISNUMBER(SEARCH("kyoto",Sources!$G$2:$G$35))+ISNUMBER(SEARCH("global",Sources!$G$2:$G$35))&gt;0))</f>
        <v>5</v>
      </c>
    </row>
    <row r="14" customFormat="false" ht="15" hidden="false" customHeight="true" outlineLevel="0" collapsed="false">
      <c r="A14" s="6" t="s">
        <v>62</v>
      </c>
      <c r="B14" s="6" t="str">
        <f aca="false">INDEX(Needs!$C$2:$C$15,MATCH(A14,Needs!$A$2:$A$15,0))</f>
        <v>recommended</v>
      </c>
      <c r="C14" s="6" t="n">
        <f aca="false">SUMPRODUCT(--ISNUMBER(SEARCH(A14,Sources!$H$2:$H$35)),--(ISNUMBER(SEARCH("kyoto",Sources!$G$2:$G$35))+ISNUMBER(SEARCH("global",Sources!$G$2:$G$35))&gt;0),--(Sources!$P$2:$P$35="yes"))</f>
        <v>0</v>
      </c>
      <c r="D14" s="6" t="str">
        <f aca="false">IF(AND(LEFT(B14,3)="yes",C14=0),"GAP",IF(C14=0,"uncovered","ok"))</f>
        <v>uncovered</v>
      </c>
      <c r="E14" s="6" t="n">
        <f aca="false">SUMPRODUCT(--ISNUMBER(SEARCH(A14,Sources!$H$2:$H$35)),--(ISNUMBER(SEARCH("kyoto",Sources!$G$2:$G$35))+ISNUMBER(SEARCH("global",Sources!$G$2:$G$35))&gt;0))</f>
        <v>3</v>
      </c>
    </row>
    <row r="15" customFormat="false" ht="15" hidden="false" customHeight="true" outlineLevel="0" collapsed="false">
      <c r="A15" s="6" t="s">
        <v>65</v>
      </c>
      <c r="B15" s="6" t="str">
        <f aca="false">INDEX(Needs!$C$2:$C$15,MATCH(A15,Needs!$A$2:$A$15,0))</f>
        <v>yes</v>
      </c>
      <c r="C15" s="6" t="n">
        <f aca="false">SUMPRODUCT(--ISNUMBER(SEARCH(A15,Sources!$H$2:$H$35)),--(ISNUMBER(SEARCH("kyoto",Sources!$G$2:$G$35))+ISNUMBER(SEARCH("global",Sources!$G$2:$G$35))&gt;0),--(Sources!$P$2:$P$35="yes"))</f>
        <v>0</v>
      </c>
      <c r="D15" s="6" t="str">
        <f aca="false">IF(AND(LEFT(B15,3)="yes",C15=0),"GAP",IF(C15=0,"uncovered","ok"))</f>
        <v>GAP</v>
      </c>
      <c r="E15" s="6" t="n">
        <f aca="false">SUMPRODUCT(--ISNUMBER(SEARCH(A15,Sources!$H$2:$H$35)),--(ISNUMBER(SEARCH("kyoto",Sources!$G$2:$G$35))+ISNUMBER(SEARCH("global",Sources!$G$2:$G$35))&gt;0))</f>
        <v>4</v>
      </c>
    </row>
    <row r="17" customFormat="false" ht="48" hidden="false" customHeight="true" outlineLevel="0" collapsed="false">
      <c r="A17" s="8" t="s">
        <v>328</v>
      </c>
      <c r="B17" s="8"/>
      <c r="C17" s="8"/>
      <c r="D17" s="8"/>
      <c r="E17" s="8"/>
    </row>
  </sheetData>
  <mergeCells count="1">
    <mergeCell ref="A17:E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16"/>
    <col collapsed="false" customWidth="true" hidden="false" outlineLevel="0" max="3" min="3" style="1" width="22"/>
    <col collapsed="false" customWidth="true" hidden="false" outlineLevel="0" max="4" min="4" style="1" width="46"/>
    <col collapsed="false" customWidth="true" hidden="false" outlineLevel="0" max="5" min="5" style="1" width="52"/>
    <col collapsed="false" customWidth="true" hidden="false" outlineLevel="0" max="6" min="6" style="1" width="40"/>
    <col collapsed="false" customWidth="true" hidden="false" outlineLevel="0" max="7" min="7" style="1" width="34"/>
    <col collapsed="false" customWidth="true" hidden="false" outlineLevel="0" max="8" min="8" style="1" width="48"/>
    <col collapsed="false" customWidth="true" hidden="false" outlineLevel="0" max="11" min="9" style="1" width="14"/>
    <col collapsed="false" customWidth="true" hidden="false" outlineLevel="0" max="12" min="12" style="1" width="44"/>
  </cols>
  <sheetData>
    <row r="1" customFormat="false" ht="23.25" hidden="false" customHeight="true" outlineLevel="0" collapsed="false">
      <c r="A1" s="5" t="s">
        <v>68</v>
      </c>
      <c r="B1" s="5" t="s">
        <v>329</v>
      </c>
      <c r="C1" s="5" t="s">
        <v>330</v>
      </c>
      <c r="D1" s="5" t="s">
        <v>331</v>
      </c>
      <c r="E1" s="5" t="s">
        <v>332</v>
      </c>
      <c r="F1" s="5" t="s">
        <v>72</v>
      </c>
      <c r="G1" s="5" t="s">
        <v>333</v>
      </c>
      <c r="H1" s="5" t="s">
        <v>334</v>
      </c>
      <c r="I1" s="5" t="s">
        <v>335</v>
      </c>
      <c r="J1" s="5" t="s">
        <v>336</v>
      </c>
      <c r="K1" s="5" t="s">
        <v>337</v>
      </c>
      <c r="L1" s="5" t="s">
        <v>338</v>
      </c>
      <c r="M1" s="5" t="s">
        <v>84</v>
      </c>
    </row>
    <row r="2" customFormat="false" ht="34.5" hidden="false" customHeight="true" outlineLevel="0" collapsed="false">
      <c r="A2" s="6" t="s">
        <v>339</v>
      </c>
      <c r="B2" s="6" t="s">
        <v>215</v>
      </c>
      <c r="C2" s="6" t="s">
        <v>340</v>
      </c>
      <c r="D2" s="6" t="s">
        <v>341</v>
      </c>
      <c r="E2" s="6" t="s">
        <v>342</v>
      </c>
      <c r="F2" s="6" t="s">
        <v>343</v>
      </c>
      <c r="G2" s="6" t="s">
        <v>344</v>
      </c>
      <c r="H2" s="6" t="s">
        <v>345</v>
      </c>
      <c r="I2" s="6" t="s">
        <v>346</v>
      </c>
      <c r="J2" s="7"/>
      <c r="K2" s="7"/>
      <c r="L2" s="7"/>
      <c r="M2" s="6" t="s">
        <v>347</v>
      </c>
    </row>
    <row r="3" customFormat="false" ht="23.25" hidden="false" customHeight="true" outlineLevel="0" collapsed="false">
      <c r="A3" s="6" t="s">
        <v>348</v>
      </c>
      <c r="B3" s="6" t="s">
        <v>215</v>
      </c>
      <c r="C3" s="6" t="s">
        <v>340</v>
      </c>
      <c r="D3" s="6" t="s">
        <v>349</v>
      </c>
      <c r="E3" s="6" t="s">
        <v>350</v>
      </c>
      <c r="F3" s="6" t="s">
        <v>351</v>
      </c>
      <c r="G3" s="6" t="s">
        <v>352</v>
      </c>
      <c r="H3" s="6" t="s">
        <v>345</v>
      </c>
      <c r="I3" s="6" t="s">
        <v>353</v>
      </c>
      <c r="J3" s="7"/>
      <c r="K3" s="7"/>
      <c r="L3" s="7"/>
      <c r="M3" s="6"/>
    </row>
    <row r="4" customFormat="false" ht="34.5" hidden="false" customHeight="true" outlineLevel="0" collapsed="false">
      <c r="A4" s="6" t="s">
        <v>354</v>
      </c>
      <c r="B4" s="6" t="s">
        <v>215</v>
      </c>
      <c r="C4" s="6" t="s">
        <v>355</v>
      </c>
      <c r="D4" s="6" t="s">
        <v>356</v>
      </c>
      <c r="E4" s="6" t="s">
        <v>357</v>
      </c>
      <c r="F4" s="6" t="s">
        <v>358</v>
      </c>
      <c r="G4" s="6" t="s">
        <v>359</v>
      </c>
      <c r="H4" s="6" t="s">
        <v>360</v>
      </c>
      <c r="I4" s="6" t="s">
        <v>361</v>
      </c>
      <c r="J4" s="7"/>
      <c r="K4" s="7"/>
      <c r="L4" s="7"/>
      <c r="M4" s="6"/>
    </row>
    <row r="5" customFormat="false" ht="45.75" hidden="false" customHeight="true" outlineLevel="0" collapsed="false">
      <c r="A5" s="6" t="s">
        <v>362</v>
      </c>
      <c r="B5" s="6" t="s">
        <v>215</v>
      </c>
      <c r="C5" s="6" t="s">
        <v>363</v>
      </c>
      <c r="D5" s="6" t="s">
        <v>364</v>
      </c>
      <c r="E5" s="6" t="s">
        <v>365</v>
      </c>
      <c r="F5" s="6" t="s">
        <v>366</v>
      </c>
      <c r="G5" s="6" t="s">
        <v>367</v>
      </c>
      <c r="H5" s="6" t="s">
        <v>368</v>
      </c>
      <c r="I5" s="6" t="s">
        <v>369</v>
      </c>
      <c r="J5" s="7"/>
      <c r="K5" s="7"/>
      <c r="L5" s="7"/>
      <c r="M5" s="6" t="s">
        <v>370</v>
      </c>
    </row>
    <row r="6" customFormat="false" ht="34.5" hidden="false" customHeight="true" outlineLevel="0" collapsed="false">
      <c r="A6" s="6" t="s">
        <v>371</v>
      </c>
      <c r="B6" s="6" t="s">
        <v>215</v>
      </c>
      <c r="C6" s="6" t="s">
        <v>372</v>
      </c>
      <c r="D6" s="6" t="s">
        <v>373</v>
      </c>
      <c r="E6" s="6" t="s">
        <v>374</v>
      </c>
      <c r="F6" s="6" t="s">
        <v>375</v>
      </c>
      <c r="G6" s="6" t="s">
        <v>376</v>
      </c>
      <c r="H6" s="6" t="s">
        <v>377</v>
      </c>
      <c r="I6" s="6" t="s">
        <v>378</v>
      </c>
      <c r="J6" s="7"/>
      <c r="K6" s="7"/>
      <c r="L6" s="7"/>
      <c r="M6" s="6"/>
    </row>
    <row r="7" customFormat="false" ht="45.75" hidden="false" customHeight="true" outlineLevel="0" collapsed="false">
      <c r="A7" s="6" t="s">
        <v>379</v>
      </c>
      <c r="B7" s="6" t="s">
        <v>215</v>
      </c>
      <c r="C7" s="6" t="s">
        <v>380</v>
      </c>
      <c r="D7" s="6" t="s">
        <v>381</v>
      </c>
      <c r="E7" s="6" t="s">
        <v>382</v>
      </c>
      <c r="F7" s="6" t="s">
        <v>383</v>
      </c>
      <c r="G7" s="6" t="s">
        <v>384</v>
      </c>
      <c r="H7" s="6" t="s">
        <v>385</v>
      </c>
      <c r="I7" s="6" t="s">
        <v>386</v>
      </c>
      <c r="J7" s="7"/>
      <c r="K7" s="7"/>
      <c r="L7" s="7"/>
      <c r="M7" s="6" t="s">
        <v>387</v>
      </c>
    </row>
    <row r="8" customFormat="false" ht="34.5" hidden="false" customHeight="true" outlineLevel="0" collapsed="false">
      <c r="A8" s="6" t="s">
        <v>388</v>
      </c>
      <c r="B8" s="6" t="s">
        <v>215</v>
      </c>
      <c r="C8" s="6" t="s">
        <v>372</v>
      </c>
      <c r="D8" s="6" t="s">
        <v>389</v>
      </c>
      <c r="E8" s="6" t="s">
        <v>390</v>
      </c>
      <c r="F8" s="6" t="s">
        <v>391</v>
      </c>
      <c r="G8" s="6" t="s">
        <v>392</v>
      </c>
      <c r="H8" s="6" t="s">
        <v>377</v>
      </c>
      <c r="I8" s="6" t="s">
        <v>393</v>
      </c>
      <c r="J8" s="7"/>
      <c r="K8" s="7"/>
      <c r="L8" s="7"/>
      <c r="M8" s="6"/>
    </row>
    <row r="9" customFormat="false" ht="34.5" hidden="false" customHeight="true" outlineLevel="0" collapsed="false">
      <c r="A9" s="6" t="s">
        <v>394</v>
      </c>
      <c r="B9" s="6" t="s">
        <v>215</v>
      </c>
      <c r="C9" s="6" t="s">
        <v>395</v>
      </c>
      <c r="D9" s="6" t="s">
        <v>396</v>
      </c>
      <c r="E9" s="6" t="s">
        <v>397</v>
      </c>
      <c r="F9" s="6" t="s">
        <v>398</v>
      </c>
      <c r="G9" s="6" t="s">
        <v>399</v>
      </c>
      <c r="H9" s="6" t="s">
        <v>400</v>
      </c>
      <c r="I9" s="6" t="s">
        <v>401</v>
      </c>
      <c r="J9" s="7"/>
      <c r="K9" s="7"/>
      <c r="L9" s="7"/>
      <c r="M9" s="6" t="s">
        <v>402</v>
      </c>
    </row>
    <row r="10" customFormat="false" ht="34.5" hidden="false" customHeight="true" outlineLevel="0" collapsed="false">
      <c r="A10" s="6" t="s">
        <v>403</v>
      </c>
      <c r="B10" s="6" t="s">
        <v>215</v>
      </c>
      <c r="C10" s="6" t="s">
        <v>404</v>
      </c>
      <c r="D10" s="6" t="s">
        <v>405</v>
      </c>
      <c r="E10" s="6" t="s">
        <v>406</v>
      </c>
      <c r="F10" s="6" t="s">
        <v>366</v>
      </c>
      <c r="G10" s="6" t="s">
        <v>407</v>
      </c>
      <c r="H10" s="6" t="s">
        <v>408</v>
      </c>
      <c r="I10" s="6" t="s">
        <v>409</v>
      </c>
      <c r="J10" s="7"/>
      <c r="K10" s="7"/>
      <c r="L10" s="7"/>
      <c r="M10" s="6"/>
    </row>
    <row r="11" customFormat="false" ht="23.25" hidden="false" customHeight="true" outlineLevel="0" collapsed="false">
      <c r="A11" s="6" t="s">
        <v>410</v>
      </c>
      <c r="B11" s="6" t="s">
        <v>261</v>
      </c>
      <c r="C11" s="6" t="s">
        <v>340</v>
      </c>
      <c r="D11" s="6" t="s">
        <v>411</v>
      </c>
      <c r="E11" s="6" t="s">
        <v>412</v>
      </c>
      <c r="F11" s="6" t="s">
        <v>398</v>
      </c>
      <c r="G11" s="6" t="s">
        <v>413</v>
      </c>
      <c r="H11" s="6" t="s">
        <v>345</v>
      </c>
      <c r="I11" s="6" t="s">
        <v>414</v>
      </c>
      <c r="J11" s="7"/>
      <c r="K11" s="7"/>
      <c r="L11" s="7"/>
      <c r="M11" s="6" t="s">
        <v>415</v>
      </c>
    </row>
    <row r="12" customFormat="false" ht="23.25" hidden="false" customHeight="true" outlineLevel="0" collapsed="false">
      <c r="A12" s="6" t="s">
        <v>416</v>
      </c>
      <c r="B12" s="6" t="s">
        <v>277</v>
      </c>
      <c r="C12" s="6" t="s">
        <v>340</v>
      </c>
      <c r="D12" s="6" t="s">
        <v>417</v>
      </c>
      <c r="E12" s="6" t="s">
        <v>418</v>
      </c>
      <c r="F12" s="6" t="s">
        <v>351</v>
      </c>
      <c r="G12" s="6" t="s">
        <v>419</v>
      </c>
      <c r="H12" s="6" t="s">
        <v>345</v>
      </c>
      <c r="I12" s="6" t="s">
        <v>420</v>
      </c>
      <c r="J12" s="7"/>
      <c r="K12" s="7"/>
      <c r="L12" s="7"/>
      <c r="M12" s="6" t="s">
        <v>415</v>
      </c>
    </row>
    <row r="13" customFormat="false" ht="23.25" hidden="false" customHeight="true" outlineLevel="0" collapsed="false">
      <c r="A13" s="6" t="s">
        <v>421</v>
      </c>
      <c r="B13" s="6" t="s">
        <v>290</v>
      </c>
      <c r="C13" s="6" t="s">
        <v>340</v>
      </c>
      <c r="D13" s="6" t="s">
        <v>422</v>
      </c>
      <c r="E13" s="6" t="s">
        <v>423</v>
      </c>
      <c r="F13" s="6" t="s">
        <v>351</v>
      </c>
      <c r="G13" s="6" t="s">
        <v>424</v>
      </c>
      <c r="H13" s="6" t="s">
        <v>345</v>
      </c>
      <c r="I13" s="6" t="s">
        <v>425</v>
      </c>
      <c r="J13" s="7"/>
      <c r="K13" s="7"/>
      <c r="L13" s="7"/>
      <c r="M13" s="6" t="s">
        <v>415</v>
      </c>
    </row>
    <row r="14" customFormat="false" ht="23.25" hidden="false" customHeight="true" outlineLevel="0" collapsed="false">
      <c r="A14" s="6" t="s">
        <v>426</v>
      </c>
      <c r="B14" s="6" t="s">
        <v>299</v>
      </c>
      <c r="C14" s="6" t="s">
        <v>340</v>
      </c>
      <c r="D14" s="6" t="s">
        <v>427</v>
      </c>
      <c r="E14" s="6" t="s">
        <v>428</v>
      </c>
      <c r="F14" s="6" t="s">
        <v>351</v>
      </c>
      <c r="G14" s="6" t="s">
        <v>429</v>
      </c>
      <c r="H14" s="6" t="s">
        <v>430</v>
      </c>
      <c r="I14" s="6" t="s">
        <v>431</v>
      </c>
      <c r="J14" s="7"/>
      <c r="K14" s="7"/>
      <c r="L14" s="7"/>
      <c r="M14" s="6" t="s">
        <v>415</v>
      </c>
    </row>
    <row r="15" customFormat="false" ht="23.25" hidden="false" customHeight="true" outlineLevel="0" collapsed="false">
      <c r="A15" s="6" t="s">
        <v>432</v>
      </c>
      <c r="B15" s="6" t="s">
        <v>304</v>
      </c>
      <c r="C15" s="6" t="s">
        <v>340</v>
      </c>
      <c r="D15" s="6" t="s">
        <v>433</v>
      </c>
      <c r="E15" s="6" t="s">
        <v>434</v>
      </c>
      <c r="F15" s="6" t="s">
        <v>351</v>
      </c>
      <c r="G15" s="6" t="s">
        <v>435</v>
      </c>
      <c r="H15" s="6" t="s">
        <v>345</v>
      </c>
      <c r="I15" s="6" t="s">
        <v>436</v>
      </c>
      <c r="J15" s="7"/>
      <c r="K15" s="7"/>
      <c r="L15" s="7"/>
      <c r="M15" s="6" t="s">
        <v>415</v>
      </c>
    </row>
    <row r="16" customFormat="false" ht="23.25" hidden="false" customHeight="true" outlineLevel="0" collapsed="false">
      <c r="A16" s="6" t="s">
        <v>437</v>
      </c>
      <c r="B16" s="6" t="s">
        <v>304</v>
      </c>
      <c r="C16" s="6" t="s">
        <v>355</v>
      </c>
      <c r="D16" s="6" t="s">
        <v>438</v>
      </c>
      <c r="E16" s="6" t="s">
        <v>439</v>
      </c>
      <c r="F16" s="6" t="s">
        <v>358</v>
      </c>
      <c r="G16" s="6" t="s">
        <v>440</v>
      </c>
      <c r="H16" s="6" t="s">
        <v>360</v>
      </c>
      <c r="I16" s="6" t="s">
        <v>441</v>
      </c>
      <c r="J16" s="7"/>
      <c r="K16" s="7"/>
      <c r="L16" s="7"/>
      <c r="M16" s="6" t="s">
        <v>415</v>
      </c>
    </row>
    <row r="17" customFormat="false" ht="23.25" hidden="false" customHeight="true" outlineLevel="0" collapsed="false">
      <c r="A17" s="6" t="s">
        <v>442</v>
      </c>
      <c r="B17" s="6" t="s">
        <v>443</v>
      </c>
      <c r="C17" s="6" t="s">
        <v>363</v>
      </c>
      <c r="D17" s="6" t="s">
        <v>444</v>
      </c>
      <c r="E17" s="6" t="s">
        <v>445</v>
      </c>
      <c r="F17" s="6" t="s">
        <v>366</v>
      </c>
      <c r="G17" s="6" t="s">
        <v>446</v>
      </c>
      <c r="H17" s="6" t="s">
        <v>368</v>
      </c>
      <c r="I17" s="6" t="s">
        <v>447</v>
      </c>
      <c r="J17" s="7"/>
      <c r="K17" s="7"/>
      <c r="L17" s="7"/>
      <c r="M17" s="6" t="s">
        <v>448</v>
      </c>
    </row>
    <row r="18" customFormat="false" ht="34.5" hidden="false" customHeight="true" outlineLevel="0" collapsed="false">
      <c r="A18" s="6" t="s">
        <v>449</v>
      </c>
      <c r="B18" s="6" t="s">
        <v>443</v>
      </c>
      <c r="C18" s="6" t="s">
        <v>450</v>
      </c>
      <c r="D18" s="6" t="s">
        <v>451</v>
      </c>
      <c r="E18" s="6" t="s">
        <v>452</v>
      </c>
      <c r="F18" s="6" t="s">
        <v>453</v>
      </c>
      <c r="G18" s="6" t="s">
        <v>454</v>
      </c>
      <c r="H18" s="6" t="s">
        <v>455</v>
      </c>
      <c r="I18" s="6" t="s">
        <v>456</v>
      </c>
      <c r="J18" s="7"/>
      <c r="K18" s="7"/>
      <c r="L18" s="7"/>
      <c r="M18" s="6" t="s">
        <v>457</v>
      </c>
    </row>
  </sheetData>
  <autoFilter ref="A1:M1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2026-09-29T20:58:32Z</dcterms:created>
  <dc:creator>openpyxl</dc:creator>
  <dc:description/>
  <dc:language>en-US</dc:language>
  <cp:lastModifiedBy/>
  <dcterms:modified xsi:type="dcterms:W3CDTF">2026-09-29T23:58:08Z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